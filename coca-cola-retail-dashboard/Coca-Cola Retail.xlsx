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98654DEA-FE49-4F79-A8F5-C50312C8B602}" xr6:coauthVersionLast="47" xr6:coauthVersionMax="47" xr10:uidLastSave="{00000000-0000-0000-0000-000000000000}"/>
  <bookViews>
    <workbookView xWindow="-120" yWindow="-120" windowWidth="24240" windowHeight="13140" activeTab="3" xr2:uid="{AA3C1E50-38F1-6644-B051-514CE6CAA6A2}"/>
  </bookViews>
  <sheets>
    <sheet name="Cover Page" sheetId="7" r:id="rId1"/>
    <sheet name="Data" sheetId="1" r:id="rId2"/>
    <sheet name="Analyze" sheetId="8" r:id="rId3"/>
    <sheet name="Dashboard" sheetId="6" r:id="rId4"/>
  </sheets>
  <definedNames>
    <definedName name="Slicer_Region">#N/A</definedName>
    <definedName name="Slicer_Years__Invoice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8" l="1"/>
  <c r="G21" i="8"/>
  <c r="H21" i="8"/>
  <c r="F22" i="8"/>
  <c r="G22" i="8"/>
  <c r="H22" i="8"/>
  <c r="F23" i="8"/>
  <c r="G23" i="8"/>
  <c r="H23" i="8"/>
  <c r="E24" i="8"/>
  <c r="F24" i="8"/>
  <c r="G24" i="8"/>
  <c r="H24" i="8"/>
  <c r="F25" i="8"/>
  <c r="G25" i="8"/>
  <c r="H25" i="8"/>
  <c r="F26" i="8"/>
  <c r="G26" i="8"/>
  <c r="H26" i="8"/>
  <c r="F27" i="8"/>
  <c r="G27" i="8"/>
  <c r="H27" i="8"/>
  <c r="E28" i="8"/>
  <c r="G28" i="8"/>
  <c r="H28" i="8"/>
  <c r="F20" i="8"/>
  <c r="G20" i="8"/>
  <c r="H20" i="8"/>
  <c r="H13" i="6"/>
  <c r="I13" i="6"/>
  <c r="J13" i="6"/>
  <c r="H14" i="6"/>
  <c r="I14" i="6"/>
  <c r="J14" i="6"/>
  <c r="H15" i="6"/>
  <c r="I15" i="6"/>
  <c r="J15" i="6"/>
  <c r="H16" i="6"/>
  <c r="I16" i="6"/>
  <c r="J16" i="6"/>
  <c r="H17" i="6"/>
  <c r="I17" i="6"/>
  <c r="J17" i="6"/>
  <c r="I18" i="6"/>
  <c r="J18" i="6"/>
  <c r="I12" i="6"/>
  <c r="J12" i="6"/>
  <c r="H12" i="6"/>
  <c r="D12" i="6"/>
  <c r="E12" i="6"/>
  <c r="D13" i="6"/>
  <c r="E13" i="6"/>
  <c r="D14" i="6"/>
  <c r="E14" i="6"/>
  <c r="D15" i="6"/>
  <c r="E15" i="6"/>
  <c r="D16" i="6"/>
  <c r="E16" i="6"/>
  <c r="D17" i="6"/>
  <c r="E17" i="6"/>
  <c r="C14" i="6"/>
  <c r="C15" i="6"/>
  <c r="C16" i="6"/>
  <c r="C17" i="6"/>
  <c r="C13" i="6"/>
  <c r="C12" i="6"/>
  <c r="E20" i="8"/>
  <c r="K18" i="6" l="1"/>
  <c r="K15" i="6"/>
  <c r="K14" i="6"/>
  <c r="K16" i="6"/>
  <c r="K12" i="6"/>
  <c r="K17" i="6"/>
  <c r="K13" i="6"/>
  <c r="F14" i="6"/>
  <c r="E18" i="6"/>
  <c r="F15" i="6"/>
  <c r="F16" i="6"/>
  <c r="D18" i="6"/>
  <c r="F17" i="6"/>
  <c r="F13" i="6"/>
  <c r="F12" i="6"/>
  <c r="F18" i="6" l="1"/>
</calcChain>
</file>

<file path=xl/sharedStrings.xml><?xml version="1.0" encoding="utf-8"?>
<sst xmlns="http://schemas.openxmlformats.org/spreadsheetml/2006/main" count="48311" uniqueCount="162">
  <si>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</si>
  <si>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</si>
  <si>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</si>
  <si>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</si>
  <si>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</si>
  <si>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</si>
  <si>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</si>
  <si>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</si>
  <si>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</si>
  <si>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</si>
  <si>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</si>
  <si>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</si>
  <si>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</si>
  <si>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</si>
  <si>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</si>
  <si>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</si>
  <si>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</si>
  <si>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</si>
  <si>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</si>
  <si>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</si>
  <si>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</si>
  <si>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</si>
  <si>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</si>
  <si>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</si>
  <si>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</si>
  <si>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</si>
  <si>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</si>
  <si>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</si>
  <si>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</si>
  <si>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</si>
  <si>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</si>
  <si>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</si>
  <si>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</si>
  <si>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</si>
  <si>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</si>
  <si>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</si>
  <si>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</si>
  <si>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</si>
  <si>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</si>
  <si>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</si>
  <si>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</si>
  <si>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</si>
  <si>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</si>
  <si>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</si>
  <si>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</si>
  <si>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</si>
  <si>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</si>
  <si>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</si>
  <si>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</si>
  <si>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</si>
  <si>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</si>
  <si>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</si>
  <si>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</si>
  <si>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</si>
  <si>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</si>
  <si>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</si>
  <si>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</si>
  <si>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</si>
  <si>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</si>
  <si>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</si>
  <si>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</si>
  <si>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</si>
  <si>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</si>
  <si>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</si>
  <si>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</si>
  <si>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</si>
  <si>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</si>
  <si>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</si>
  <si>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</si>
  <si>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</si>
  <si>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</si>
  <si>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</si>
  <si>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</si>
  <si>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</si>
  <si>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</si>
  <si>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</si>
  <si>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</si>
  <si>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</si>
  <si>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</si>
  <si>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</si>
  <si>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</si>
  <si>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</si>
  <si>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</si>
  <si>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</si>
  <si>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</si>
  <si>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</si>
  <si>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</si>
  <si>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</si>
  <si>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</si>
  <si>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</si>
  <si>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</si>
  <si>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</si>
  <si>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</si>
  <si>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</si>
  <si>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</si>
  <si>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</si>
  <si>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</si>
  <si>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</si>
  <si>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</si>
  <si>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</si>
  <si>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</si>
  <si>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</si>
  <si>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</si>
  <si>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</si>
  <si>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</si>
  <si>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</si>
  <si>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</si>
  <si>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</si>
  <si>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</si>
  <si>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</si>
  <si>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</si>
  <si>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</si>
  <si>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</si>
  <si>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</si>
  <si>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</si>
  <si>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</si>
  <si>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</si>
  <si>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</si>
  <si>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</si>
  <si>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</si>
  <si>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</si>
  <si>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</si>
  <si>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</si>
  <si>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</si>
  <si>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</si>
  <si>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</si>
  <si>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</si>
  <si>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</si>
  <si>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</si>
  <si>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</si>
  <si>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</si>
  <si>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r>
      <t xml:space="preserve">Get </t>
    </r>
    <r>
      <rPr>
        <b/>
        <sz val="16"/>
        <color theme="1"/>
        <rFont val="Calibri"/>
        <family val="2"/>
        <scheme val="minor"/>
      </rPr>
      <t>10% OFF</t>
    </r>
    <r>
      <rPr>
        <sz val="16"/>
        <color theme="1"/>
        <rFont val="Calibri"/>
        <family val="2"/>
        <scheme val="minor"/>
      </rPr>
      <t xml:space="preserve"> our course using coupon code </t>
    </r>
    <r>
      <rPr>
        <b/>
        <sz val="16"/>
        <color theme="1"/>
        <rFont val="Calibri"/>
        <family val="2"/>
        <scheme val="minor"/>
      </rPr>
      <t>EMAIL10</t>
    </r>
  </si>
  <si>
    <t>Get our Excel for Business and Finance course.</t>
  </si>
  <si>
    <t>Made by Career Principles Ltd.</t>
  </si>
  <si>
    <t>Note</t>
  </si>
  <si>
    <t>All content is copyright material of Career Principles Ltd.</t>
  </si>
  <si>
    <t>This Excel model may not be reproduced or distributed by any means, including printing, 
screencapturing, or any other method without the prior permission of the publisher.</t>
  </si>
  <si>
    <t>Dashboard Dataset</t>
  </si>
  <si>
    <t>Brand</t>
  </si>
  <si>
    <t>Sales 2023</t>
  </si>
  <si>
    <t>Variances</t>
  </si>
  <si>
    <t>Sales 2022</t>
  </si>
  <si>
    <t>Sales &amp; Operating Profit Margin by Quarter</t>
  </si>
  <si>
    <t>Sum of Total Sales</t>
  </si>
  <si>
    <t>Sum of Operating Profit</t>
  </si>
  <si>
    <t>Sum of Units Sold</t>
  </si>
  <si>
    <t>Grand Total</t>
  </si>
  <si>
    <t>2022</t>
  </si>
  <si>
    <t>Year</t>
  </si>
  <si>
    <t xml:space="preserve">Beverage </t>
  </si>
  <si>
    <t>Brands</t>
  </si>
  <si>
    <t>Average of Operating Margin</t>
  </si>
  <si>
    <t>Average of Price per Unit</t>
  </si>
  <si>
    <t>Qtr1</t>
  </si>
  <si>
    <t>Qtr2</t>
  </si>
  <si>
    <t>Qtr3</t>
  </si>
  <si>
    <t>Qtr4</t>
  </si>
  <si>
    <t>Years (Invoice Date)</t>
  </si>
  <si>
    <t>Quarters (Invoice Date)</t>
  </si>
  <si>
    <t>Total</t>
  </si>
  <si>
    <t>Sales by Retailers</t>
  </si>
  <si>
    <t>Sales by Beverage Brands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</si>
</sst>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17"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sz val="12"/>
      <color theme="1"/>
      <name val="Calibri"/>
      <family val="2"/>
      <scheme val="minor"/>
    </font>
    <font>
      <b/>
      <sz val="11"/>
      <color theme="1"/>
      <name val="Calibri"/>
      <family val="2"/>
      <scheme val="minor"/>
    </font>
    <font>
      <u/>
      <sz val="12"/>
      <color theme="10"/>
      <name val="Calibri"/>
      <family val="2"/>
      <scheme val="minor"/>
    </font>
    <font>
      <b/>
      <sz val="48"/>
      <color theme="1"/>
      <name val="Calibri"/>
      <family val="2"/>
      <scheme val="minor"/>
    </font>
    <font>
      <b/>
      <sz val="60"/>
      <color theme="1"/>
      <name val="Calibri"/>
      <family val="2"/>
      <scheme val="minor"/>
    </font>
    <font>
      <sz val="16"/>
      <color theme="1"/>
      <name val="Calibri"/>
      <family val="2"/>
      <scheme val="minor"/>
    </font>
    <font>
      <b/>
      <sz val="16"/>
      <color theme="1"/>
      <name val="Calibri"/>
      <family val="2"/>
      <scheme val="minor"/>
    </font>
    <font>
      <i/>
      <sz val="14"/>
      <color rgb="FF0432FF"/>
      <name val="Calibri"/>
      <family val="2"/>
      <scheme val="minor"/>
    </font>
    <font>
      <u/>
      <sz val="20"/>
      <color theme="10"/>
      <name val="Calibri"/>
      <family val="2"/>
      <scheme val="minor"/>
    </font>
    <font>
      <sz val="12"/>
      <color theme="0"/>
      <name val="Calibri"/>
      <family val="2"/>
      <scheme val="minor"/>
    </font>
    <font>
      <b/>
      <sz val="14"/>
      <color theme="0"/>
      <name val="Calibri"/>
      <family val="2"/>
      <scheme val="minor"/>
    </font>
    <font>
      <sz val="8"/>
      <name val="Calibri"/>
      <family val="2"/>
      <scheme val="minor"/>
    </font>
    <font>
      <b/>
      <sz val="12"/>
      <color theme="1"/>
      <name val="Calibri"/>
      <family val="2"/>
      <scheme val="minor"/>
    </font>
  </fonts>
  <fills count="11">
    <fill>
      <patternFill patternType="none"/>
    </fill>
    <fill>
      <patternFill patternType="gray125"/>
    </fill>
    <fill>
      <patternFill patternType="solid">
        <fgColor rgb="FF2A3E68"/>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3"/>
        <bgColor indexed="64"/>
      </patternFill>
    </fill>
    <fill>
      <patternFill patternType="solid">
        <fgColor rgb="FF00B0F0"/>
        <bgColor indexed="64"/>
      </patternFill>
    </fill>
    <fill>
      <patternFill patternType="solid">
        <fgColor rgb="FF073673"/>
        <bgColor indexed="64"/>
      </patternFill>
    </fill>
    <fill>
      <patternFill patternType="solid">
        <fgColor theme="1"/>
        <bgColor indexed="64"/>
      </patternFill>
    </fill>
    <fill>
      <patternFill patternType="solid">
        <fgColor theme="0"/>
        <bgColor indexed="64"/>
      </patternFill>
    </fill>
    <fill>
      <patternFill patternType="solid">
        <fgColor rgb="FFFFFF99"/>
        <bgColor indexed="64"/>
      </patternFill>
    </fill>
  </fills>
  <borders count="12">
    <border>
      <left/>
      <right/>
      <top/>
      <bottom/>
      <diagonal/>
    </border>
    <border>
      <left/>
      <right/>
      <top/>
      <bottom style="thin">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47">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8" fontId="0" fillId="0" borderId="0" xfId="0" applyNumberFormat="1" applyAlignment="1">
      <alignment horizontal="center"/>
    </xf>
    <xf numFmtId="3" fontId="0" fillId="0" borderId="0" xfId="0" applyNumberFormat="1" applyAlignment="1">
      <alignment horizontal="center"/>
    </xf>
    <xf numFmtId="6"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0" borderId="2" xfId="0" applyBorder="1"/>
    <xf numFmtId="0" fontId="7" fillId="0" borderId="3" xfId="0" applyFont="1" applyBorder="1" applyAlignment="1">
      <alignment horizontal="center" vertical="center"/>
    </xf>
    <xf numFmtId="0" fontId="0" fillId="0" borderId="4" xfId="0" applyBorder="1"/>
    <xf numFmtId="0" fontId="0" fillId="3" borderId="0" xfId="0" applyFill="1"/>
    <xf numFmtId="0" fontId="0" fillId="0" borderId="5" xfId="0" applyBorder="1"/>
    <xf numFmtId="0" fontId="8" fillId="0" borderId="0" xfId="0" applyFont="1" applyAlignment="1">
      <alignment horizontal="center" vertical="center"/>
    </xf>
    <xf numFmtId="0" fontId="0" fillId="0" borderId="6" xfId="0" applyBorder="1"/>
    <xf numFmtId="0" fontId="4" fillId="0" borderId="5" xfId="0" applyFont="1" applyBorder="1"/>
    <xf numFmtId="0" fontId="9" fillId="0" borderId="0" xfId="0" applyFont="1" applyAlignment="1">
      <alignment horizontal="center"/>
    </xf>
    <xf numFmtId="0" fontId="4" fillId="0" borderId="6" xfId="0" applyFont="1" applyBorder="1"/>
    <xf numFmtId="0" fontId="4" fillId="3" borderId="0" xfId="0" applyFont="1" applyFill="1"/>
    <xf numFmtId="0" fontId="4" fillId="0" borderId="0" xfId="0" applyFont="1"/>
    <xf numFmtId="0" fontId="0" fillId="0" borderId="5" xfId="0" applyBorder="1" applyAlignment="1">
      <alignment vertical="center"/>
    </xf>
    <xf numFmtId="0" fontId="0" fillId="0" borderId="6" xfId="0" applyBorder="1" applyAlignment="1">
      <alignment vertical="center"/>
    </xf>
    <xf numFmtId="0" fontId="0" fillId="3" borderId="0" xfId="0" applyFill="1" applyAlignment="1">
      <alignment vertical="center"/>
    </xf>
    <xf numFmtId="0" fontId="11" fillId="0" borderId="0" xfId="1" applyFont="1" applyFill="1" applyBorder="1"/>
    <xf numFmtId="0" fontId="5" fillId="0" borderId="8" xfId="0" applyFont="1" applyBorder="1"/>
    <xf numFmtId="0" fontId="0" fillId="0" borderId="0" xfId="0" applyAlignment="1">
      <alignment vertical="top" wrapText="1"/>
    </xf>
    <xf numFmtId="0" fontId="0" fillId="0" borderId="9" xfId="0" applyBorder="1"/>
    <xf numFmtId="0" fontId="0" fillId="0" borderId="8" xfId="0" applyBorder="1"/>
    <xf numFmtId="0" fontId="0" fillId="0" borderId="10" xfId="0" applyBorder="1"/>
    <xf numFmtId="0" fontId="12" fillId="4" borderId="7" xfId="1" applyFont="1" applyFill="1" applyBorder="1" applyAlignment="1">
      <alignment horizontal="center" vertical="center"/>
    </xf>
    <xf numFmtId="0" fontId="13" fillId="6" borderId="0" xfId="0" applyFont="1" applyFill="1"/>
    <xf numFmtId="0" fontId="14" fillId="7" borderId="0" xfId="0" applyFont="1" applyFill="1" applyAlignment="1">
      <alignment horizontal="centerContinuous"/>
    </xf>
    <xf numFmtId="0" fontId="0" fillId="8" borderId="0" xfId="0" applyFill="1"/>
    <xf numFmtId="6" fontId="0" fillId="0" borderId="0" xfId="0" applyNumberFormat="1"/>
    <xf numFmtId="8" fontId="0" fillId="0" borderId="0" xfId="0" applyNumberFormat="1"/>
    <xf numFmtId="3"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16" fillId="10" borderId="11" xfId="0" applyFont="1" applyFill="1" applyBorder="1"/>
    <xf numFmtId="3" fontId="16" fillId="10" borderId="11" xfId="0" applyNumberFormat="1" applyFont="1" applyFill="1" applyBorder="1"/>
    <xf numFmtId="38" fontId="0" fillId="0" borderId="0" xfId="0" applyNumberFormat="1"/>
    <xf numFmtId="0" fontId="0" fillId="9" borderId="0" xfId="0" applyFill="1"/>
    <xf numFmtId="0" fontId="0" fillId="0" borderId="0" xfId="0" applyAlignment="1">
      <alignment horizontal="left" indent="1"/>
    </xf>
    <xf numFmtId="0" fontId="14" fillId="5" borderId="0" xfId="0" applyFont="1" applyFill="1" applyAlignment="1">
      <alignment horizontal="center"/>
    </xf>
  </cellXfs>
  <cellStyles count="2">
    <cellStyle name="Hyperlink 2" xfId="1" xr:uid="{229837FD-7C70-47AC-B854-CBC5538B0B97}"/>
    <cellStyle name="Normal" xfId="0" builtinId="0"/>
  </cellStyles>
  <dxfs count="17">
    <dxf>
      <numFmt numFmtId="6" formatCode="#,##0_);[Red]\(#,##0\)"/>
    </dxf>
    <dxf>
      <numFmt numFmtId="6" formatCode="#,##0_);[Red]\(#,##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v>Sales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Analyze!$E$20:$F$27</c:f>
              <c:multiLvlStrCache>
                <c:ptCount val="8"/>
                <c:lvl>
                  <c:pt idx="0">
                    <c:v>Qtr1</c:v>
                  </c:pt>
                  <c:pt idx="1">
                    <c:v>Qtr2</c:v>
                  </c:pt>
                  <c:pt idx="2">
                    <c:v>Qtr3</c:v>
                  </c:pt>
                  <c:pt idx="3">
                    <c:v>Qtr4</c:v>
                  </c:pt>
                  <c:pt idx="4">
                    <c:v>0%</c:v>
                  </c:pt>
                  <c:pt idx="5">
                    <c:v>0%</c:v>
                  </c:pt>
                  <c:pt idx="6">
                    <c:v>0%</c:v>
                  </c:pt>
                  <c:pt idx="7">
                    <c:v>0%</c:v>
                  </c:pt>
                </c:lvl>
                <c:lvl>
                  <c:pt idx="0">
                    <c:v>2022</c:v>
                  </c:pt>
                  <c:pt idx="4">
                    <c:v>Grand Total</c:v>
                  </c:pt>
                </c:lvl>
              </c:multiLvlStrCache>
            </c:multiLvlStrRef>
          </c:cat>
          <c:val>
            <c:numRef>
              <c:f>Analyze!$G$20:$G$27</c:f>
              <c:numCache>
                <c:formatCode>0%</c:formatCode>
                <c:ptCount val="8"/>
                <c:pt idx="0">
                  <c:v>692776.10000000033</c:v>
                </c:pt>
                <c:pt idx="1">
                  <c:v>644203.89999999967</c:v>
                </c:pt>
                <c:pt idx="2">
                  <c:v>719170.40000000014</c:v>
                </c:pt>
                <c:pt idx="3">
                  <c:v>367582.09999999992</c:v>
                </c:pt>
                <c:pt idx="4">
                  <c:v>2423732.4999999991</c:v>
                </c:pt>
                <c:pt idx="5">
                  <c:v>0</c:v>
                </c:pt>
                <c:pt idx="6">
                  <c:v>0</c:v>
                </c:pt>
                <c:pt idx="7">
                  <c:v>0</c:v>
                </c:pt>
              </c:numCache>
            </c:numRef>
          </c:val>
          <c:extLst>
            <c:ext xmlns:c16="http://schemas.microsoft.com/office/drawing/2014/chart" uri="{C3380CC4-5D6E-409C-BE32-E72D297353CC}">
              <c16:uniqueId val="{00000000-404B-4D30-A0A0-307DEE62058C}"/>
            </c:ext>
          </c:extLst>
        </c:ser>
        <c:dLbls>
          <c:showLegendKey val="0"/>
          <c:showVal val="0"/>
          <c:showCatName val="0"/>
          <c:showSerName val="0"/>
          <c:showPercent val="0"/>
          <c:showBubbleSize val="0"/>
        </c:dLbls>
        <c:gapWidth val="100"/>
        <c:axId val="1699869600"/>
        <c:axId val="1699864800"/>
      </c:barChart>
      <c:lineChart>
        <c:grouping val="standard"/>
        <c:varyColors val="0"/>
        <c:ser>
          <c:idx val="1"/>
          <c:order val="1"/>
          <c:tx>
            <c:v>Operating Profit Margin</c:v>
          </c:tx>
          <c:spPr>
            <a:ln w="34925" cap="rnd">
              <a:solidFill>
                <a:schemeClr val="accent2"/>
              </a:solidFill>
              <a:round/>
            </a:ln>
            <a:effectLst>
              <a:outerShdw blurRad="57150" dist="19050" dir="5400000" algn="ctr" rotWithShape="0">
                <a:srgbClr val="000000">
                  <a:alpha val="63000"/>
                </a:srgbClr>
              </a:outerShdw>
            </a:effectLst>
          </c:spPr>
          <c:marker>
            <c:symbol val="none"/>
          </c:marker>
          <c:cat>
            <c:multiLvlStrRef>
              <c:f>Analyze!$E$20:$F$27</c:f>
              <c:multiLvlStrCache>
                <c:ptCount val="8"/>
                <c:lvl>
                  <c:pt idx="0">
                    <c:v>Qtr1</c:v>
                  </c:pt>
                  <c:pt idx="1">
                    <c:v>Qtr2</c:v>
                  </c:pt>
                  <c:pt idx="2">
                    <c:v>Qtr3</c:v>
                  </c:pt>
                  <c:pt idx="3">
                    <c:v>Qtr4</c:v>
                  </c:pt>
                  <c:pt idx="4">
                    <c:v>0%</c:v>
                  </c:pt>
                  <c:pt idx="5">
                    <c:v>0%</c:v>
                  </c:pt>
                  <c:pt idx="6">
                    <c:v>0%</c:v>
                  </c:pt>
                  <c:pt idx="7">
                    <c:v>0%</c:v>
                  </c:pt>
                </c:lvl>
                <c:lvl>
                  <c:pt idx="0">
                    <c:v>2022</c:v>
                  </c:pt>
                  <c:pt idx="4">
                    <c:v>Grand Total</c:v>
                  </c:pt>
                </c:lvl>
              </c:multiLvlStrCache>
            </c:multiLvlStrRef>
          </c:cat>
          <c:val>
            <c:numRef>
              <c:f>Analyze!$H$20:$H$27</c:f>
              <c:numCache>
                <c:formatCode>0%</c:formatCode>
                <c:ptCount val="8"/>
                <c:pt idx="0">
                  <c:v>0.40174683544303802</c:v>
                </c:pt>
                <c:pt idx="1">
                  <c:v>0.4</c:v>
                </c:pt>
                <c:pt idx="2">
                  <c:v>0.41026548672566332</c:v>
                </c:pt>
                <c:pt idx="3">
                  <c:v>0.40243816254416886</c:v>
                </c:pt>
                <c:pt idx="4">
                  <c:v>0.40373271889401136</c:v>
                </c:pt>
                <c:pt idx="5">
                  <c:v>0</c:v>
                </c:pt>
                <c:pt idx="6">
                  <c:v>0</c:v>
                </c:pt>
                <c:pt idx="7">
                  <c:v>0</c:v>
                </c:pt>
              </c:numCache>
            </c:numRef>
          </c:val>
          <c:smooth val="0"/>
          <c:extLst>
            <c:ext xmlns:c16="http://schemas.microsoft.com/office/drawing/2014/chart" uri="{C3380CC4-5D6E-409C-BE32-E72D297353CC}">
              <c16:uniqueId val="{00000001-404B-4D30-A0A0-307DEE62058C}"/>
            </c:ext>
          </c:extLst>
        </c:ser>
        <c:dLbls>
          <c:showLegendKey val="0"/>
          <c:showVal val="0"/>
          <c:showCatName val="0"/>
          <c:showSerName val="0"/>
          <c:showPercent val="0"/>
          <c:showBubbleSize val="0"/>
        </c:dLbls>
        <c:marker val="1"/>
        <c:smooth val="0"/>
        <c:axId val="1699759680"/>
        <c:axId val="1699771200"/>
      </c:lineChart>
      <c:catAx>
        <c:axId val="16998696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864800"/>
        <c:crosses val="autoZero"/>
        <c:auto val="1"/>
        <c:lblAlgn val="ctr"/>
        <c:lblOffset val="100"/>
        <c:noMultiLvlLbl val="0"/>
      </c:catAx>
      <c:valAx>
        <c:axId val="169986480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869600"/>
        <c:crosses val="autoZero"/>
        <c:crossBetween val="between"/>
      </c:valAx>
      <c:valAx>
        <c:axId val="169977120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759680"/>
        <c:crosses val="max"/>
        <c:crossBetween val="between"/>
      </c:valAx>
      <c:catAx>
        <c:axId val="1699759680"/>
        <c:scaling>
          <c:orientation val="minMax"/>
        </c:scaling>
        <c:delete val="1"/>
        <c:axPos val="b"/>
        <c:numFmt formatCode="General" sourceLinked="1"/>
        <c:majorTickMark val="out"/>
        <c:minorTickMark val="none"/>
        <c:tickLblPos val="nextTo"/>
        <c:crossAx val="16997712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31590451824436"/>
          <c:y val="0.1786666030814171"/>
          <c:w val="0.82825786366609533"/>
          <c:h val="0.53761980955743238"/>
        </c:manualLayout>
      </c:layout>
      <c:barChart>
        <c:barDir val="col"/>
        <c:grouping val="clustered"/>
        <c:varyColors val="0"/>
        <c:ser>
          <c:idx val="0"/>
          <c:order val="0"/>
          <c:tx>
            <c:v>Sales</c:v>
          </c:tx>
          <c:spPr>
            <a:solidFill>
              <a:schemeClr val="accent1"/>
            </a:solidFill>
            <a:ln>
              <a:noFill/>
            </a:ln>
            <a:effectLst>
              <a:outerShdw blurRad="57150" dist="19050" dir="5400000" algn="ctr" rotWithShape="0">
                <a:srgbClr val="000000">
                  <a:alpha val="63000"/>
                </a:srgbClr>
              </a:outerShdw>
            </a:effectLst>
          </c:spPr>
          <c:invertIfNegative val="0"/>
          <c:cat>
            <c:multiLvlStrRef>
              <c:f>Analyze!$E$20:$F$27</c:f>
              <c:multiLvlStrCache>
                <c:ptCount val="8"/>
                <c:lvl>
                  <c:pt idx="0">
                    <c:v>Qtr1</c:v>
                  </c:pt>
                  <c:pt idx="1">
                    <c:v>Qtr2</c:v>
                  </c:pt>
                  <c:pt idx="2">
                    <c:v>Qtr3</c:v>
                  </c:pt>
                  <c:pt idx="3">
                    <c:v>Qtr4</c:v>
                  </c:pt>
                  <c:pt idx="4">
                    <c:v>0%</c:v>
                  </c:pt>
                  <c:pt idx="5">
                    <c:v>0%</c:v>
                  </c:pt>
                  <c:pt idx="6">
                    <c:v>0%</c:v>
                  </c:pt>
                  <c:pt idx="7">
                    <c:v>0%</c:v>
                  </c:pt>
                </c:lvl>
                <c:lvl>
                  <c:pt idx="0">
                    <c:v>2022</c:v>
                  </c:pt>
                  <c:pt idx="4">
                    <c:v>Grand Total</c:v>
                  </c:pt>
                </c:lvl>
              </c:multiLvlStrCache>
            </c:multiLvlStrRef>
          </c:cat>
          <c:val>
            <c:numRef>
              <c:f>Analyze!$G$20:$G$27</c:f>
              <c:numCache>
                <c:formatCode>0%</c:formatCode>
                <c:ptCount val="8"/>
                <c:pt idx="0">
                  <c:v>692776.10000000033</c:v>
                </c:pt>
                <c:pt idx="1">
                  <c:v>644203.89999999967</c:v>
                </c:pt>
                <c:pt idx="2">
                  <c:v>719170.40000000014</c:v>
                </c:pt>
                <c:pt idx="3">
                  <c:v>367582.09999999992</c:v>
                </c:pt>
                <c:pt idx="4">
                  <c:v>2423732.4999999991</c:v>
                </c:pt>
                <c:pt idx="5">
                  <c:v>0</c:v>
                </c:pt>
                <c:pt idx="6">
                  <c:v>0</c:v>
                </c:pt>
                <c:pt idx="7">
                  <c:v>0</c:v>
                </c:pt>
              </c:numCache>
            </c:numRef>
          </c:val>
          <c:extLst>
            <c:ext xmlns:c16="http://schemas.microsoft.com/office/drawing/2014/chart" uri="{C3380CC4-5D6E-409C-BE32-E72D297353CC}">
              <c16:uniqueId val="{00000000-AC1B-4E29-849B-6096B9EAEF04}"/>
            </c:ext>
          </c:extLst>
        </c:ser>
        <c:dLbls>
          <c:showLegendKey val="0"/>
          <c:showVal val="0"/>
          <c:showCatName val="0"/>
          <c:showSerName val="0"/>
          <c:showPercent val="0"/>
          <c:showBubbleSize val="0"/>
        </c:dLbls>
        <c:gapWidth val="100"/>
        <c:axId val="1699869600"/>
        <c:axId val="1699864800"/>
      </c:barChart>
      <c:lineChart>
        <c:grouping val="standard"/>
        <c:varyColors val="0"/>
        <c:ser>
          <c:idx val="1"/>
          <c:order val="1"/>
          <c:tx>
            <c:v>Operating Profit Margin</c:v>
          </c:tx>
          <c:spPr>
            <a:ln w="34925" cap="rnd">
              <a:solidFill>
                <a:srgbClr val="FF0000"/>
              </a:solidFill>
              <a:round/>
            </a:ln>
            <a:effectLst>
              <a:outerShdw blurRad="57150" dist="19050" dir="5400000" algn="ctr" rotWithShape="0">
                <a:srgbClr val="000000">
                  <a:alpha val="63000"/>
                </a:srgbClr>
              </a:outerShdw>
            </a:effectLst>
          </c:spPr>
          <c:marker>
            <c:symbol val="triangle"/>
            <c:size val="5"/>
            <c:spPr>
              <a:noFill/>
              <a:ln w="9525">
                <a:solidFill>
                  <a:schemeClr val="bg1"/>
                </a:solidFill>
                <a:round/>
              </a:ln>
              <a:effectLst>
                <a:outerShdw blurRad="57150" dist="19050" dir="5400000" algn="ctr" rotWithShape="0">
                  <a:srgbClr val="000000">
                    <a:alpha val="63000"/>
                  </a:srgbClr>
                </a:outerShdw>
              </a:effectLst>
            </c:spPr>
          </c:marker>
          <c:cat>
            <c:multiLvlStrRef>
              <c:f>Analyze!$E$20:$F$27</c:f>
              <c:multiLvlStrCache>
                <c:ptCount val="8"/>
                <c:lvl>
                  <c:pt idx="0">
                    <c:v>Qtr1</c:v>
                  </c:pt>
                  <c:pt idx="1">
                    <c:v>Qtr2</c:v>
                  </c:pt>
                  <c:pt idx="2">
                    <c:v>Qtr3</c:v>
                  </c:pt>
                  <c:pt idx="3">
                    <c:v>Qtr4</c:v>
                  </c:pt>
                  <c:pt idx="4">
                    <c:v>0%</c:v>
                  </c:pt>
                  <c:pt idx="5">
                    <c:v>0%</c:v>
                  </c:pt>
                  <c:pt idx="6">
                    <c:v>0%</c:v>
                  </c:pt>
                  <c:pt idx="7">
                    <c:v>0%</c:v>
                  </c:pt>
                </c:lvl>
                <c:lvl>
                  <c:pt idx="0">
                    <c:v>2022</c:v>
                  </c:pt>
                  <c:pt idx="4">
                    <c:v>Grand Total</c:v>
                  </c:pt>
                </c:lvl>
              </c:multiLvlStrCache>
            </c:multiLvlStrRef>
          </c:cat>
          <c:val>
            <c:numRef>
              <c:f>Analyze!$H$20:$H$27</c:f>
              <c:numCache>
                <c:formatCode>0%</c:formatCode>
                <c:ptCount val="8"/>
                <c:pt idx="0">
                  <c:v>0.40174683544303802</c:v>
                </c:pt>
                <c:pt idx="1">
                  <c:v>0.4</c:v>
                </c:pt>
                <c:pt idx="2">
                  <c:v>0.41026548672566332</c:v>
                </c:pt>
                <c:pt idx="3">
                  <c:v>0.40243816254416886</c:v>
                </c:pt>
                <c:pt idx="4">
                  <c:v>0.40373271889401136</c:v>
                </c:pt>
                <c:pt idx="5">
                  <c:v>0</c:v>
                </c:pt>
                <c:pt idx="6">
                  <c:v>0</c:v>
                </c:pt>
                <c:pt idx="7">
                  <c:v>0</c:v>
                </c:pt>
              </c:numCache>
            </c:numRef>
          </c:val>
          <c:smooth val="0"/>
          <c:extLst>
            <c:ext xmlns:c16="http://schemas.microsoft.com/office/drawing/2014/chart" uri="{C3380CC4-5D6E-409C-BE32-E72D297353CC}">
              <c16:uniqueId val="{00000001-AC1B-4E29-849B-6096B9EAEF04}"/>
            </c:ext>
          </c:extLst>
        </c:ser>
        <c:dLbls>
          <c:showLegendKey val="0"/>
          <c:showVal val="0"/>
          <c:showCatName val="0"/>
          <c:showSerName val="0"/>
          <c:showPercent val="0"/>
          <c:showBubbleSize val="0"/>
        </c:dLbls>
        <c:marker val="1"/>
        <c:smooth val="0"/>
        <c:axId val="1699759680"/>
        <c:axId val="1699771200"/>
      </c:lineChart>
      <c:catAx>
        <c:axId val="16998696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864800"/>
        <c:crosses val="autoZero"/>
        <c:auto val="1"/>
        <c:lblAlgn val="ctr"/>
        <c:lblOffset val="100"/>
        <c:noMultiLvlLbl val="0"/>
      </c:catAx>
      <c:valAx>
        <c:axId val="169986480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869600"/>
        <c:crosses val="autoZero"/>
        <c:crossBetween val="between"/>
      </c:valAx>
      <c:valAx>
        <c:axId val="169977120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759680"/>
        <c:crosses val="max"/>
        <c:crossBetween val="between"/>
      </c:valAx>
      <c:catAx>
        <c:axId val="1699759680"/>
        <c:scaling>
          <c:orientation val="minMax"/>
        </c:scaling>
        <c:delete val="1"/>
        <c:axPos val="b"/>
        <c:numFmt formatCode="General" sourceLinked="1"/>
        <c:majorTickMark val="out"/>
        <c:minorTickMark val="none"/>
        <c:tickLblPos val="nextTo"/>
        <c:crossAx val="16997712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careerprinciples.com/"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chart" Target="../charts/chart2.xml"/><Relationship Id="rId2" Type="http://schemas.openxmlformats.org/officeDocument/2006/relationships/hyperlink" Target="https://openclipart.org/detail/22700" TargetMode="External"/><Relationship Id="rId1" Type="http://schemas.openxmlformats.org/officeDocument/2006/relationships/image" Target="../media/image2.png"/><Relationship Id="rId6" Type="http://schemas.openxmlformats.org/officeDocument/2006/relationships/hyperlink" Target="https://freepngimg.com/png/2430-coca-cola-logo-png-image" TargetMode="External"/><Relationship Id="rId5" Type="http://schemas.openxmlformats.org/officeDocument/2006/relationships/image" Target="../media/image4.png"/><Relationship Id="rId4" Type="http://schemas.openxmlformats.org/officeDocument/2006/relationships/hyperlink" Target="https://eskipaper.com/coca-cola-logo.html" TargetMode="External"/></Relationships>
</file>

<file path=xl/drawings/drawing1.xml><?xml version="1.0" encoding="utf-8"?>
<xdr:wsDr xmlns:xdr="http://schemas.openxmlformats.org/drawingml/2006/spreadsheetDrawing" xmlns:a="http://schemas.openxmlformats.org/drawingml/2006/main">
  <xdr:oneCellAnchor>
    <xdr:from>
      <xdr:col>2</xdr:col>
      <xdr:colOff>2209032</xdr:colOff>
      <xdr:row>3</xdr:row>
      <xdr:rowOff>50217</xdr:rowOff>
    </xdr:from>
    <xdr:ext cx="3204694" cy="1114911"/>
    <xdr:pic>
      <xdr:nvPicPr>
        <xdr:cNvPr id="2" name="Picture 1">
          <a:hlinkClick xmlns:r="http://schemas.openxmlformats.org/officeDocument/2006/relationships" r:id="rId1"/>
          <a:extLst>
            <a:ext uri="{FF2B5EF4-FFF2-40B4-BE49-F238E27FC236}">
              <a16:creationId xmlns:a16="http://schemas.microsoft.com/office/drawing/2014/main" id="{8C575290-1461-4672-9836-EACFA325121B}"/>
            </a:ext>
          </a:extLst>
        </xdr:cNvPr>
        <xdr:cNvPicPr>
          <a:picLocks noChangeAspect="1"/>
        </xdr:cNvPicPr>
      </xdr:nvPicPr>
      <xdr:blipFill>
        <a:blip xmlns:r="http://schemas.openxmlformats.org/officeDocument/2006/relationships" r:embed="rId2"/>
        <a:stretch>
          <a:fillRect/>
        </a:stretch>
      </xdr:blipFill>
      <xdr:spPr>
        <a:xfrm>
          <a:off x="3679692" y="1223697"/>
          <a:ext cx="3204694" cy="111491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4</xdr:col>
      <xdr:colOff>947737</xdr:colOff>
      <xdr:row>28</xdr:row>
      <xdr:rowOff>28575</xdr:rowOff>
    </xdr:from>
    <xdr:to>
      <xdr:col>9</xdr:col>
      <xdr:colOff>271462</xdr:colOff>
      <xdr:row>41</xdr:row>
      <xdr:rowOff>171450</xdr:rowOff>
    </xdr:to>
    <xdr:graphicFrame macro="">
      <xdr:nvGraphicFramePr>
        <xdr:cNvPr id="8" name="Chart 7">
          <a:extLst>
            <a:ext uri="{FF2B5EF4-FFF2-40B4-BE49-F238E27FC236}">
              <a16:creationId xmlns:a16="http://schemas.microsoft.com/office/drawing/2014/main" id="{D08CB856-4D37-AADA-78E2-7AD1A7133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9526</xdr:colOff>
      <xdr:row>1</xdr:row>
      <xdr:rowOff>9525</xdr:rowOff>
    </xdr:from>
    <xdr:to>
      <xdr:col>11</xdr:col>
      <xdr:colOff>0</xdr:colOff>
      <xdr:row>4</xdr:row>
      <xdr:rowOff>114300</xdr:rowOff>
    </xdr:to>
    <xdr:sp macro="" textlink="">
      <xdr:nvSpPr>
        <xdr:cNvPr id="2" name="Rectangle 1">
          <a:extLst>
            <a:ext uri="{FF2B5EF4-FFF2-40B4-BE49-F238E27FC236}">
              <a16:creationId xmlns:a16="http://schemas.microsoft.com/office/drawing/2014/main" id="{BB76AE38-601C-56B9-D197-F19F7B472A48}"/>
            </a:ext>
          </a:extLst>
        </xdr:cNvPr>
        <xdr:cNvSpPr/>
      </xdr:nvSpPr>
      <xdr:spPr>
        <a:xfrm>
          <a:off x="2819401" y="209550"/>
          <a:ext cx="7705724" cy="704850"/>
        </a:xfrm>
        <a:prstGeom prst="rect">
          <a:avLst/>
        </a:prstGeom>
        <a:solidFill>
          <a:srgbClr val="0736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COCA-COLA</a:t>
          </a:r>
          <a:r>
            <a:rPr lang="en-US" sz="2400" baseline="0"/>
            <a:t> </a:t>
          </a:r>
          <a:r>
            <a:rPr lang="en-US" sz="2400" b="1" baseline="0"/>
            <a:t>RETAIL</a:t>
          </a:r>
          <a:r>
            <a:rPr lang="en-US" sz="2400" baseline="0"/>
            <a:t> </a:t>
          </a:r>
          <a:r>
            <a:rPr lang="en-US" sz="2400" b="1" baseline="0"/>
            <a:t>DASHBOARD</a:t>
          </a:r>
        </a:p>
        <a:p>
          <a:pPr algn="l"/>
          <a:r>
            <a:rPr lang="en-US" sz="1400" b="1" baseline="0"/>
            <a:t>Figures</a:t>
          </a:r>
          <a:r>
            <a:rPr lang="en-US" sz="1400" baseline="0"/>
            <a:t> </a:t>
          </a:r>
          <a:r>
            <a:rPr lang="en-US" sz="1400" b="1" baseline="0"/>
            <a:t>in</a:t>
          </a:r>
          <a:r>
            <a:rPr lang="en-US" sz="1400" baseline="0"/>
            <a:t> </a:t>
          </a:r>
          <a:r>
            <a:rPr lang="en-US" sz="1400" b="1" baseline="0"/>
            <a:t>USD</a:t>
          </a:r>
          <a:endParaRPr lang="en-US" sz="1400" b="1"/>
        </a:p>
      </xdr:txBody>
    </xdr:sp>
    <xdr:clientData/>
  </xdr:twoCellAnchor>
  <xdr:twoCellAnchor>
    <xdr:from>
      <xdr:col>2</xdr:col>
      <xdr:colOff>19050</xdr:colOff>
      <xdr:row>5</xdr:row>
      <xdr:rowOff>9526</xdr:rowOff>
    </xdr:from>
    <xdr:to>
      <xdr:col>4</xdr:col>
      <xdr:colOff>1</xdr:colOff>
      <xdr:row>7</xdr:row>
      <xdr:rowOff>104776</xdr:rowOff>
    </xdr:to>
    <xdr:sp macro="" textlink="">
      <xdr:nvSpPr>
        <xdr:cNvPr id="3" name="Rectangle 2">
          <a:extLst>
            <a:ext uri="{FF2B5EF4-FFF2-40B4-BE49-F238E27FC236}">
              <a16:creationId xmlns:a16="http://schemas.microsoft.com/office/drawing/2014/main" id="{C5027A64-F209-3A00-2456-FC90501FC5F6}"/>
            </a:ext>
          </a:extLst>
        </xdr:cNvPr>
        <xdr:cNvSpPr/>
      </xdr:nvSpPr>
      <xdr:spPr>
        <a:xfrm>
          <a:off x="2828925" y="1009651"/>
          <a:ext cx="1695451" cy="495300"/>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TOTAL SALES</a:t>
          </a:r>
        </a:p>
      </xdr:txBody>
    </xdr:sp>
    <xdr:clientData/>
  </xdr:twoCellAnchor>
  <xdr:twoCellAnchor>
    <xdr:from>
      <xdr:col>4</xdr:col>
      <xdr:colOff>161925</xdr:colOff>
      <xdr:row>5</xdr:row>
      <xdr:rowOff>0</xdr:rowOff>
    </xdr:from>
    <xdr:to>
      <xdr:col>6</xdr:col>
      <xdr:colOff>561975</xdr:colOff>
      <xdr:row>7</xdr:row>
      <xdr:rowOff>85725</xdr:rowOff>
    </xdr:to>
    <xdr:sp macro="" textlink="">
      <xdr:nvSpPr>
        <xdr:cNvPr id="4" name="Rectangle 3">
          <a:extLst>
            <a:ext uri="{FF2B5EF4-FFF2-40B4-BE49-F238E27FC236}">
              <a16:creationId xmlns:a16="http://schemas.microsoft.com/office/drawing/2014/main" id="{D0B5E1F7-1A63-A2D4-F1AD-55338BAF95D3}"/>
            </a:ext>
          </a:extLst>
        </xdr:cNvPr>
        <xdr:cNvSpPr/>
      </xdr:nvSpPr>
      <xdr:spPr>
        <a:xfrm>
          <a:off x="4686300" y="1000125"/>
          <a:ext cx="2114550" cy="485775"/>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TOTAL OPERATING PROFIT</a:t>
          </a:r>
        </a:p>
      </xdr:txBody>
    </xdr:sp>
    <xdr:clientData/>
  </xdr:twoCellAnchor>
  <xdr:twoCellAnchor>
    <xdr:from>
      <xdr:col>6</xdr:col>
      <xdr:colOff>666751</xdr:colOff>
      <xdr:row>5</xdr:row>
      <xdr:rowOff>9525</xdr:rowOff>
    </xdr:from>
    <xdr:to>
      <xdr:col>8</xdr:col>
      <xdr:colOff>581027</xdr:colOff>
      <xdr:row>7</xdr:row>
      <xdr:rowOff>85725</xdr:rowOff>
    </xdr:to>
    <xdr:sp macro="" textlink="">
      <xdr:nvSpPr>
        <xdr:cNvPr id="5" name="Rectangle 4">
          <a:extLst>
            <a:ext uri="{FF2B5EF4-FFF2-40B4-BE49-F238E27FC236}">
              <a16:creationId xmlns:a16="http://schemas.microsoft.com/office/drawing/2014/main" id="{CB04E70F-E2BF-6809-6631-E3037EFB1C42}"/>
            </a:ext>
          </a:extLst>
        </xdr:cNvPr>
        <xdr:cNvSpPr/>
      </xdr:nvSpPr>
      <xdr:spPr>
        <a:xfrm>
          <a:off x="6905626" y="1009650"/>
          <a:ext cx="1628776" cy="476250"/>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AVG. PRICE</a:t>
          </a:r>
          <a:r>
            <a:rPr lang="en-US" sz="1200" b="1" baseline="0">
              <a:solidFill>
                <a:schemeClr val="tx1"/>
              </a:solidFill>
            </a:rPr>
            <a:t> PER UNIT</a:t>
          </a:r>
          <a:endParaRPr lang="en-US" sz="1200" b="1">
            <a:solidFill>
              <a:schemeClr val="tx1"/>
            </a:solidFill>
          </a:endParaRPr>
        </a:p>
      </xdr:txBody>
    </xdr:sp>
    <xdr:clientData/>
  </xdr:twoCellAnchor>
  <xdr:twoCellAnchor>
    <xdr:from>
      <xdr:col>8</xdr:col>
      <xdr:colOff>800100</xdr:colOff>
      <xdr:row>5</xdr:row>
      <xdr:rowOff>0</xdr:rowOff>
    </xdr:from>
    <xdr:to>
      <xdr:col>11</xdr:col>
      <xdr:colOff>9526</xdr:colOff>
      <xdr:row>7</xdr:row>
      <xdr:rowOff>76200</xdr:rowOff>
    </xdr:to>
    <xdr:sp macro="" textlink="">
      <xdr:nvSpPr>
        <xdr:cNvPr id="6" name="Rectangle 5">
          <a:extLst>
            <a:ext uri="{FF2B5EF4-FFF2-40B4-BE49-F238E27FC236}">
              <a16:creationId xmlns:a16="http://schemas.microsoft.com/office/drawing/2014/main" id="{F6694FDF-72C5-7C4C-14E4-67B18C001D38}"/>
            </a:ext>
          </a:extLst>
        </xdr:cNvPr>
        <xdr:cNvSpPr/>
      </xdr:nvSpPr>
      <xdr:spPr>
        <a:xfrm>
          <a:off x="8753475" y="1000125"/>
          <a:ext cx="1781176" cy="476250"/>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UNITS SOLD</a:t>
          </a:r>
        </a:p>
      </xdr:txBody>
    </xdr:sp>
    <xdr:clientData/>
  </xdr:twoCellAnchor>
  <xdr:oneCellAnchor>
    <xdr:from>
      <xdr:col>2</xdr:col>
      <xdr:colOff>333375</xdr:colOff>
      <xdr:row>3</xdr:row>
      <xdr:rowOff>171450</xdr:rowOff>
    </xdr:from>
    <xdr:ext cx="184731" cy="264560"/>
    <xdr:sp macro="" textlink="">
      <xdr:nvSpPr>
        <xdr:cNvPr id="11" name="TextBox 10">
          <a:extLst>
            <a:ext uri="{FF2B5EF4-FFF2-40B4-BE49-F238E27FC236}">
              <a16:creationId xmlns:a16="http://schemas.microsoft.com/office/drawing/2014/main" id="{EA4AFFB8-C339-D103-4D05-958589173037}"/>
            </a:ext>
          </a:extLst>
        </xdr:cNvPr>
        <xdr:cNvSpPr txBox="1"/>
      </xdr:nvSpPr>
      <xdr:spPr>
        <a:xfrm>
          <a:off x="3143250"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247650</xdr:colOff>
      <xdr:row>3</xdr:row>
      <xdr:rowOff>161925</xdr:rowOff>
    </xdr:from>
    <xdr:ext cx="184731" cy="264560"/>
    <xdr:sp macro="" textlink="">
      <xdr:nvSpPr>
        <xdr:cNvPr id="12" name="TextBox 11">
          <a:extLst>
            <a:ext uri="{FF2B5EF4-FFF2-40B4-BE49-F238E27FC236}">
              <a16:creationId xmlns:a16="http://schemas.microsoft.com/office/drawing/2014/main" id="{E60876D7-0CF4-39A1-6566-50334004D709}"/>
            </a:ext>
          </a:extLst>
        </xdr:cNvPr>
        <xdr:cNvSpPr txBox="1"/>
      </xdr:nvSpPr>
      <xdr:spPr>
        <a:xfrm>
          <a:off x="3057525" y="76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8</xdr:col>
      <xdr:colOff>819150</xdr:colOff>
      <xdr:row>1</xdr:row>
      <xdr:rowOff>76200</xdr:rowOff>
    </xdr:from>
    <xdr:to>
      <xdr:col>10</xdr:col>
      <xdr:colOff>742950</xdr:colOff>
      <xdr:row>4</xdr:row>
      <xdr:rowOff>76200</xdr:rowOff>
    </xdr:to>
    <xdr:pic>
      <xdr:nvPicPr>
        <xdr:cNvPr id="14" name="Picture 13">
          <a:extLst>
            <a:ext uri="{FF2B5EF4-FFF2-40B4-BE49-F238E27FC236}">
              <a16:creationId xmlns:a16="http://schemas.microsoft.com/office/drawing/2014/main" id="{5749D379-7A2C-CFAC-1530-DFA24FE043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8772525" y="276225"/>
          <a:ext cx="1638300" cy="600075"/>
        </a:xfrm>
        <a:prstGeom prst="rect">
          <a:avLst/>
        </a:prstGeom>
      </xdr:spPr>
    </xdr:pic>
    <xdr:clientData/>
  </xdr:twoCellAnchor>
  <xdr:twoCellAnchor editAs="oneCell">
    <xdr:from>
      <xdr:col>0</xdr:col>
      <xdr:colOff>0</xdr:colOff>
      <xdr:row>0</xdr:row>
      <xdr:rowOff>38100</xdr:rowOff>
    </xdr:from>
    <xdr:to>
      <xdr:col>0</xdr:col>
      <xdr:colOff>1885950</xdr:colOff>
      <xdr:row>5</xdr:row>
      <xdr:rowOff>171450</xdr:rowOff>
    </xdr:to>
    <xdr:pic>
      <xdr:nvPicPr>
        <xdr:cNvPr id="27" name="Picture 26">
          <a:extLst>
            <a:ext uri="{FF2B5EF4-FFF2-40B4-BE49-F238E27FC236}">
              <a16:creationId xmlns:a16="http://schemas.microsoft.com/office/drawing/2014/main" id="{6329AF42-9895-C037-B2EB-39D6032C5D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0" y="38100"/>
          <a:ext cx="1885950" cy="1133475"/>
        </a:xfrm>
        <a:prstGeom prst="rect">
          <a:avLst/>
        </a:prstGeom>
      </xdr:spPr>
    </xdr:pic>
    <xdr:clientData/>
  </xdr:twoCellAnchor>
  <xdr:twoCellAnchor>
    <xdr:from>
      <xdr:col>2</xdr:col>
      <xdr:colOff>190499</xdr:colOff>
      <xdr:row>5</xdr:row>
      <xdr:rowOff>190499</xdr:rowOff>
    </xdr:from>
    <xdr:to>
      <xdr:col>3</xdr:col>
      <xdr:colOff>657225</xdr:colOff>
      <xdr:row>7</xdr:row>
      <xdr:rowOff>190500</xdr:rowOff>
    </xdr:to>
    <xdr:sp macro="" textlink="Analyze!A4">
      <xdr:nvSpPr>
        <xdr:cNvPr id="8" name="TextBox 7">
          <a:extLst>
            <a:ext uri="{FF2B5EF4-FFF2-40B4-BE49-F238E27FC236}">
              <a16:creationId xmlns:a16="http://schemas.microsoft.com/office/drawing/2014/main" id="{4100113B-93EC-4DFB-CECF-41E760750A9B}"/>
            </a:ext>
          </a:extLst>
        </xdr:cNvPr>
        <xdr:cNvSpPr txBox="1"/>
      </xdr:nvSpPr>
      <xdr:spPr>
        <a:xfrm>
          <a:off x="3000374" y="1190624"/>
          <a:ext cx="1323976" cy="400051"/>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fld id="{D6911FFA-C3FA-4BC0-B48A-5F760F56FF7A}" type="TxLink">
            <a:rPr lang="en-US" sz="1800" b="1" i="0" u="none" strike="noStrike" cap="none" spc="0">
              <a:ln>
                <a:noFill/>
              </a:ln>
              <a:solidFill>
                <a:schemeClr val="bg1"/>
              </a:solidFill>
              <a:effectLst/>
              <a:latin typeface="Calibri"/>
              <a:cs typeface="Calibri"/>
            </a:rPr>
            <a:pPr algn="ctr"/>
            <a:t>2,423,733 </a:t>
          </a:fld>
          <a:endParaRPr lang="en-US" sz="1800" b="1" cap="none" spc="0">
            <a:ln>
              <a:noFill/>
            </a:ln>
            <a:solidFill>
              <a:schemeClr val="bg1"/>
            </a:solidFill>
            <a:effectLst/>
          </a:endParaRPr>
        </a:p>
      </xdr:txBody>
    </xdr:sp>
    <xdr:clientData/>
  </xdr:twoCellAnchor>
  <xdr:twoCellAnchor>
    <xdr:from>
      <xdr:col>4</xdr:col>
      <xdr:colOff>666750</xdr:colOff>
      <xdr:row>5</xdr:row>
      <xdr:rowOff>152400</xdr:rowOff>
    </xdr:from>
    <xdr:to>
      <xdr:col>6</xdr:col>
      <xdr:colOff>495300</xdr:colOff>
      <xdr:row>7</xdr:row>
      <xdr:rowOff>190500</xdr:rowOff>
    </xdr:to>
    <xdr:sp macro="" textlink="Analyze!B4">
      <xdr:nvSpPr>
        <xdr:cNvPr id="10" name="TextBox 9">
          <a:extLst>
            <a:ext uri="{FF2B5EF4-FFF2-40B4-BE49-F238E27FC236}">
              <a16:creationId xmlns:a16="http://schemas.microsoft.com/office/drawing/2014/main" id="{CB722028-00DF-4A98-8ECD-DB04FE6AB1B5}"/>
            </a:ext>
          </a:extLst>
        </xdr:cNvPr>
        <xdr:cNvSpPr txBox="1"/>
      </xdr:nvSpPr>
      <xdr:spPr>
        <a:xfrm>
          <a:off x="5191125" y="1152525"/>
          <a:ext cx="1543050" cy="43815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CC3D2708-06D1-41EB-A15A-F5BE1B4B1116}" type="TxLink">
            <a:rPr lang="en-US" sz="1800" b="1" i="0" u="none" strike="noStrike" cap="none" spc="0">
              <a:ln>
                <a:noFill/>
              </a:ln>
              <a:solidFill>
                <a:schemeClr val="bg1"/>
              </a:solidFill>
              <a:effectLst/>
              <a:latin typeface="Calibri"/>
              <a:cs typeface="Calibri"/>
            </a:rPr>
            <a:pPr/>
            <a:t>901,551 </a:t>
          </a:fld>
          <a:endParaRPr lang="en-US" sz="1800" b="1" cap="none" spc="0">
            <a:ln>
              <a:noFill/>
            </a:ln>
            <a:solidFill>
              <a:schemeClr val="bg1"/>
            </a:solidFill>
            <a:effectLst/>
          </a:endParaRPr>
        </a:p>
      </xdr:txBody>
    </xdr:sp>
    <xdr:clientData/>
  </xdr:twoCellAnchor>
  <xdr:twoCellAnchor>
    <xdr:from>
      <xdr:col>7</xdr:col>
      <xdr:colOff>257176</xdr:colOff>
      <xdr:row>5</xdr:row>
      <xdr:rowOff>123825</xdr:rowOff>
    </xdr:from>
    <xdr:to>
      <xdr:col>8</xdr:col>
      <xdr:colOff>390526</xdr:colOff>
      <xdr:row>7</xdr:row>
      <xdr:rowOff>161925</xdr:rowOff>
    </xdr:to>
    <xdr:sp macro="" textlink="Analyze!C4">
      <xdr:nvSpPr>
        <xdr:cNvPr id="13" name="TextBox 12">
          <a:extLst>
            <a:ext uri="{FF2B5EF4-FFF2-40B4-BE49-F238E27FC236}">
              <a16:creationId xmlns:a16="http://schemas.microsoft.com/office/drawing/2014/main" id="{5B29CB9A-5D29-4A03-869A-AC04E0F1612F}"/>
            </a:ext>
          </a:extLst>
        </xdr:cNvPr>
        <xdr:cNvSpPr txBox="1"/>
      </xdr:nvSpPr>
      <xdr:spPr>
        <a:xfrm>
          <a:off x="7353301" y="1123950"/>
          <a:ext cx="990600" cy="43815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l"/>
          <a:fld id="{E7466427-DC7E-47B2-9A1D-EC1617D6897C}" type="TxLink">
            <a:rPr lang="en-US" sz="1800" b="1" i="0" u="none" strike="noStrike" cap="none" spc="0">
              <a:ln>
                <a:noFill/>
              </a:ln>
              <a:solidFill>
                <a:schemeClr val="bg1"/>
              </a:solidFill>
              <a:effectLst/>
              <a:latin typeface="Calibri"/>
              <a:cs typeface="Calibri"/>
            </a:rPr>
            <a:pPr algn="l"/>
            <a:t>$0.51 </a:t>
          </a:fld>
          <a:endParaRPr lang="en-US" sz="1800" b="1" cap="none" spc="0">
            <a:ln>
              <a:noFill/>
            </a:ln>
            <a:solidFill>
              <a:schemeClr val="bg1"/>
            </a:solidFill>
            <a:effectLst/>
          </a:endParaRPr>
        </a:p>
      </xdr:txBody>
    </xdr:sp>
    <xdr:clientData/>
  </xdr:twoCellAnchor>
  <xdr:twoCellAnchor>
    <xdr:from>
      <xdr:col>9</xdr:col>
      <xdr:colOff>238126</xdr:colOff>
      <xdr:row>5</xdr:row>
      <xdr:rowOff>152400</xdr:rowOff>
    </xdr:from>
    <xdr:to>
      <xdr:col>10</xdr:col>
      <xdr:colOff>666750</xdr:colOff>
      <xdr:row>7</xdr:row>
      <xdr:rowOff>190500</xdr:rowOff>
    </xdr:to>
    <xdr:sp macro="" textlink="Analyze!D4">
      <xdr:nvSpPr>
        <xdr:cNvPr id="15" name="TextBox 14">
          <a:extLst>
            <a:ext uri="{FF2B5EF4-FFF2-40B4-BE49-F238E27FC236}">
              <a16:creationId xmlns:a16="http://schemas.microsoft.com/office/drawing/2014/main" id="{8639190F-A5A9-493C-BD69-EE6B861A2466}"/>
            </a:ext>
          </a:extLst>
        </xdr:cNvPr>
        <xdr:cNvSpPr txBox="1"/>
      </xdr:nvSpPr>
      <xdr:spPr>
        <a:xfrm>
          <a:off x="9048751" y="1152525"/>
          <a:ext cx="1285874" cy="43815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A3EB0461-48C9-4540-B38A-F6A0CE41115D}" type="TxLink">
            <a:rPr lang="en-US" sz="1800" b="1" i="0" u="none" strike="noStrike" cap="none" spc="0">
              <a:ln>
                <a:noFill/>
              </a:ln>
              <a:solidFill>
                <a:schemeClr val="bg1"/>
              </a:solidFill>
              <a:effectLst/>
              <a:latin typeface="Calibri"/>
              <a:cs typeface="Calibri"/>
            </a:rPr>
            <a:pPr/>
            <a:t>4,623,490</a:t>
          </a:fld>
          <a:endParaRPr lang="en-US" sz="1800" b="1" cap="none" spc="0">
            <a:ln>
              <a:noFill/>
            </a:ln>
            <a:solidFill>
              <a:schemeClr val="bg1"/>
            </a:solidFill>
            <a:effectLst/>
          </a:endParaRPr>
        </a:p>
      </xdr:txBody>
    </xdr:sp>
    <xdr:clientData/>
  </xdr:twoCellAnchor>
  <xdr:twoCellAnchor editAs="oneCell">
    <xdr:from>
      <xdr:col>0</xdr:col>
      <xdr:colOff>47625</xdr:colOff>
      <xdr:row>20</xdr:row>
      <xdr:rowOff>104775</xdr:rowOff>
    </xdr:from>
    <xdr:to>
      <xdr:col>1</xdr:col>
      <xdr:colOff>0</xdr:colOff>
      <xdr:row>30</xdr:row>
      <xdr:rowOff>0</xdr:rowOff>
    </xdr:to>
    <xdr:pic>
      <xdr:nvPicPr>
        <xdr:cNvPr id="19" name="Picture 18">
          <a:extLst>
            <a:ext uri="{FF2B5EF4-FFF2-40B4-BE49-F238E27FC236}">
              <a16:creationId xmlns:a16="http://schemas.microsoft.com/office/drawing/2014/main" id="{C4E15C6D-154D-1FF0-7B6E-0A262AA9E6F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47625" y="4181475"/>
          <a:ext cx="1905000" cy="1895475"/>
        </a:xfrm>
        <a:prstGeom prst="rect">
          <a:avLst/>
        </a:prstGeom>
      </xdr:spPr>
    </xdr:pic>
    <xdr:clientData/>
  </xdr:twoCellAnchor>
  <xdr:twoCellAnchor editAs="oneCell">
    <xdr:from>
      <xdr:col>0</xdr:col>
      <xdr:colOff>76200</xdr:colOff>
      <xdr:row>5</xdr:row>
      <xdr:rowOff>180975</xdr:rowOff>
    </xdr:from>
    <xdr:to>
      <xdr:col>0</xdr:col>
      <xdr:colOff>1905000</xdr:colOff>
      <xdr:row>14</xdr:row>
      <xdr:rowOff>152400</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9D34CD0C-B808-4E6E-8C4A-0C64142938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0" y="1181100"/>
              <a:ext cx="1828800" cy="180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15</xdr:row>
      <xdr:rowOff>57151</xdr:rowOff>
    </xdr:from>
    <xdr:to>
      <xdr:col>0</xdr:col>
      <xdr:colOff>1905000</xdr:colOff>
      <xdr:row>20</xdr:row>
      <xdr:rowOff>9526</xdr:rowOff>
    </xdr:to>
    <mc:AlternateContent xmlns:mc="http://schemas.openxmlformats.org/markup-compatibility/2006" xmlns:a14="http://schemas.microsoft.com/office/drawing/2010/main">
      <mc:Choice Requires="a14">
        <xdr:graphicFrame macro="">
          <xdr:nvGraphicFramePr>
            <xdr:cNvPr id="22" name="Years (Invoice Date)">
              <a:extLst>
                <a:ext uri="{FF2B5EF4-FFF2-40B4-BE49-F238E27FC236}">
                  <a16:creationId xmlns:a16="http://schemas.microsoft.com/office/drawing/2014/main" id="{A159232A-3858-4FF4-BB33-8343201AD002}"/>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76200" y="3095626"/>
              <a:ext cx="18288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257175</xdr:colOff>
      <xdr:row>29</xdr:row>
      <xdr:rowOff>133350</xdr:rowOff>
    </xdr:from>
    <xdr:to>
      <xdr:col>1</xdr:col>
      <xdr:colOff>133349</xdr:colOff>
      <xdr:row>32</xdr:row>
      <xdr:rowOff>95250</xdr:rowOff>
    </xdr:to>
    <xdr:sp macro="" textlink="Analyze!A4">
      <xdr:nvSpPr>
        <xdr:cNvPr id="23" name="TextBox 22">
          <a:extLst>
            <a:ext uri="{FF2B5EF4-FFF2-40B4-BE49-F238E27FC236}">
              <a16:creationId xmlns:a16="http://schemas.microsoft.com/office/drawing/2014/main" id="{E3D21BBE-23CC-4C58-A876-711E884B8096}"/>
            </a:ext>
          </a:extLst>
        </xdr:cNvPr>
        <xdr:cNvSpPr txBox="1"/>
      </xdr:nvSpPr>
      <xdr:spPr>
        <a:xfrm>
          <a:off x="257175" y="6010275"/>
          <a:ext cx="1828799" cy="561975"/>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b="1" i="0" u="none" strike="noStrike" cap="none" spc="0">
              <a:ln>
                <a:noFill/>
              </a:ln>
              <a:solidFill>
                <a:schemeClr val="bg1"/>
              </a:solidFill>
              <a:effectLst/>
              <a:latin typeface="Calibri"/>
              <a:cs typeface="Calibri"/>
            </a:rPr>
            <a:t>Josh Analytics</a:t>
          </a:r>
          <a:r>
            <a:rPr lang="en-US" sz="1100" b="1" i="0" u="none" strike="noStrike" cap="none" spc="0" baseline="0">
              <a:ln>
                <a:noFill/>
              </a:ln>
              <a:solidFill>
                <a:schemeClr val="bg1"/>
              </a:solidFill>
              <a:effectLst/>
              <a:latin typeface="Calibri"/>
              <a:cs typeface="Calibri"/>
            </a:rPr>
            <a:t> Fun 2026</a:t>
          </a:r>
          <a:endParaRPr lang="en-US" sz="1100" b="1" cap="none" spc="0">
            <a:ln>
              <a:noFill/>
            </a:ln>
            <a:solidFill>
              <a:schemeClr val="bg1"/>
            </a:solidFill>
            <a:effectLst/>
          </a:endParaRPr>
        </a:p>
      </xdr:txBody>
    </xdr:sp>
    <xdr:clientData/>
  </xdr:twoCellAnchor>
  <xdr:twoCellAnchor>
    <xdr:from>
      <xdr:col>2</xdr:col>
      <xdr:colOff>0</xdr:colOff>
      <xdr:row>21</xdr:row>
      <xdr:rowOff>0</xdr:rowOff>
    </xdr:from>
    <xdr:to>
      <xdr:col>10</xdr:col>
      <xdr:colOff>828675</xdr:colOff>
      <xdr:row>30</xdr:row>
      <xdr:rowOff>190501</xdr:rowOff>
    </xdr:to>
    <xdr:graphicFrame macro="">
      <xdr:nvGraphicFramePr>
        <xdr:cNvPr id="25" name="Chart 24">
          <a:extLst>
            <a:ext uri="{FF2B5EF4-FFF2-40B4-BE49-F238E27FC236}">
              <a16:creationId xmlns:a16="http://schemas.microsoft.com/office/drawing/2014/main" id="{ECB93AC1-2E01-4268-95BE-A8AE562DB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3.97552847222" createdVersion="8" refreshedVersion="8" minRefreshableVersion="3" recordCount="9648" xr:uid="{4140C564-8C98-4252-8EBC-9054FBBBA946}">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1/1/2022"/>
          <s v="Jan"/>
          <s v="Feb"/>
          <s v="Mar"/>
          <s v="Apr"/>
          <s v="May"/>
          <s v="Jun"/>
          <s v="Jul"/>
          <s v="Aug"/>
          <s v="Sep"/>
          <s v="Oct"/>
          <s v="Nov"/>
          <s v="Dec"/>
          <s v="&gt;1/1/2024"/>
        </groupItems>
      </fieldGroup>
    </cacheField>
    <cacheField name="Quarters (Invoice Date)" numFmtId="0" databaseField="0">
      <fieldGroup base="2">
        <rangePr groupBy="quarters" startDate="2022-01-01T00:00:00" endDate="2024-01-01T00:00:00"/>
        <groupItems count="6">
          <s v="&lt;1/1/2022"/>
          <s v="Qtr1"/>
          <s v="Qtr2"/>
          <s v="Qtr3"/>
          <s v="Qtr4"/>
          <s v="&gt;1/1/2024"/>
        </groupItems>
      </fieldGroup>
    </cacheField>
    <cacheField name="Years (Invoice Date)" numFmtId="0" databaseField="0">
      <fieldGroup base="2">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pivotCacheId="572122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FEF00A-84B4-49FD-9A12-04439E33239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ds" colHeaderCaption="Year">
  <location ref="A31:C39"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h="1" sd="0" x="0"/>
        <item sd="0" x="1"/>
        <item h="1" sd="0" x="2"/>
        <item h="1" sd="0" x="3"/>
        <item h="1" sd="0" x="4"/>
        <item t="default"/>
      </items>
    </pivotField>
  </pivotFields>
  <rowFields count="1">
    <field x="0"/>
  </rowFields>
  <rowItems count="7">
    <i>
      <x/>
    </i>
    <i>
      <x v="1"/>
    </i>
    <i>
      <x v="2"/>
    </i>
    <i>
      <x v="3"/>
    </i>
    <i>
      <x v="4"/>
    </i>
    <i>
      <x v="5"/>
    </i>
    <i t="grand">
      <x/>
    </i>
  </rowItems>
  <colFields count="1">
    <field x="14"/>
  </colFields>
  <colItems count="2">
    <i>
      <x v="1"/>
    </i>
    <i t="grand">
      <x/>
    </i>
  </colItems>
  <dataFields count="1">
    <dataField name="Beverage "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2CEB46-363B-4EAB-BCBE-BC4E2A7F06B9}"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Retailers" colHeaderCaption="Year">
  <location ref="A19:D24"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8" outline="0" showAll="0" defaultSubtotal="0"/>
    <pivotField compact="0" numFmtId="3" outline="0" showAll="0" defaultSubtotal="0"/>
    <pivotField dataField="1" compact="0" numFmtId="6" outline="0" showAll="0" defaultSubtotal="0"/>
    <pivotField compact="0" numFmtId="6"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h="1" sd="0" x="0"/>
        <item x="1"/>
        <item h="1" x="2"/>
        <item h="1" sd="0" x="3"/>
        <item h="1" sd="0" x="4"/>
      </items>
    </pivotField>
  </pivotFields>
  <rowFields count="2">
    <field x="14"/>
    <field x="13"/>
  </rowFields>
  <rowItems count="5">
    <i>
      <x v="1"/>
      <x v="1"/>
    </i>
    <i r="1">
      <x v="2"/>
    </i>
    <i r="1">
      <x v="3"/>
    </i>
    <i r="1">
      <x v="4"/>
    </i>
    <i t="grand">
      <x/>
    </i>
  </rowItems>
  <colFields count="1">
    <field x="-2"/>
  </colFields>
  <colItems count="2">
    <i>
      <x/>
    </i>
    <i i="1">
      <x v="1"/>
    </i>
  </colItems>
  <dataFields count="2">
    <dataField name="Sum of Total Sales" fld="9" baseField="0" baseItem="0" numFmtId="6"/>
    <dataField name="Average of Operating Margin" fld="11"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F9B381-0EAE-487A-BAF9-0ACCCBC350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ds" colHeaderCaption="Year">
  <location ref="A7:C15"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h="1" sd="0" x="0"/>
        <item sd="0" x="1"/>
        <item h="1" sd="0" x="2"/>
        <item h="1" sd="0" x="3"/>
        <item h="1" sd="0" x="4"/>
        <item t="default"/>
      </items>
    </pivotField>
  </pivotFields>
  <rowFields count="1">
    <field x="6"/>
  </rowFields>
  <rowItems count="7">
    <i>
      <x/>
    </i>
    <i>
      <x v="1"/>
    </i>
    <i>
      <x v="2"/>
    </i>
    <i>
      <x v="3"/>
    </i>
    <i>
      <x v="4"/>
    </i>
    <i>
      <x v="5"/>
    </i>
    <i t="grand">
      <x/>
    </i>
  </rowItems>
  <colFields count="1">
    <field x="14"/>
  </colFields>
  <colItems count="2">
    <i>
      <x v="1"/>
    </i>
    <i t="grand">
      <x/>
    </i>
  </colItems>
  <dataFields count="1">
    <dataField name="Beverage "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A4BFBB-EFCC-4D32-B090-6A3EC57836A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8" showAll="0"/>
    <pivotField dataField="1" numFmtId="3" showAll="0"/>
    <pivotField dataField="1" numFmtId="6" showAll="0"/>
    <pivotField dataField="1" numFmtId="6"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h="1" x="2"/>
        <item h="1" x="3"/>
        <item h="1" x="4"/>
        <item t="default"/>
      </items>
    </pivotField>
  </pivotFields>
  <rowItems count="1">
    <i/>
  </rowItems>
  <colFields count="1">
    <field x="-2"/>
  </colFields>
  <colItems count="4">
    <i>
      <x/>
    </i>
    <i i="1">
      <x v="1"/>
    </i>
    <i i="2">
      <x v="2"/>
    </i>
    <i i="3">
      <x v="3"/>
    </i>
  </colItems>
  <dataFields count="4">
    <dataField name="Sum of Total Sales" fld="9" baseField="0" baseItem="0" numFmtId="38"/>
    <dataField name="Sum of Operating Profit" fld="10" baseField="0" baseItem="0" numFmtId="38"/>
    <dataField name="Average of Price per Unit" fld="7" subtotal="average" baseField="0" baseItem="1" numFmtId="8"/>
    <dataField name="Sum of Units Sold" fld="8" baseField="0" baseItem="0" numFmtId="3"/>
  </dataFields>
  <formats count="1">
    <format dxfId="1">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88BC1E-2E3F-4C78-BA46-4C001C7E4519}" sourceName="Region">
  <pivotTables>
    <pivotTable tabId="8" name="PivotTable2"/>
    <pivotTable tabId="8" name="PivotTable3"/>
    <pivotTable tabId="8" name="PivotTable5"/>
    <pivotTable tabId="8" name="PivotTable6"/>
  </pivotTables>
  <data>
    <tabular pivotCacheId="572122224">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237F2443-0BBB-4D1B-B6B1-232DD5525C34}" sourceName="Years (Invoice Date)">
  <pivotTables>
    <pivotTable tabId="8" name="PivotTable2"/>
    <pivotTable tabId="8" name="PivotTable3"/>
    <pivotTable tabId="8" name="PivotTable5"/>
    <pivotTable tabId="8" name="PivotTable6"/>
  </pivotTables>
  <data>
    <tabular pivotCacheId="572122224">
      <items count="5">
        <i x="1" s="1"/>
        <i x="2"/>
        <i x="0" nd="1"/>
        <i x="4"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FB06481-957D-4A98-867F-1A5944103B18}" cache="Slicer_Region" caption="Region" rowHeight="257175"/>
  <slicer name="Years (Invoice Date)" xr10:uid="{65AD854F-12A0-4847-BE05-1C0117C2C983}" cache="Slicer_Years__Invoice_Date" caption="Years (Invoice Dat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6" dataDxfId="15" tableBorderDxfId="14">
  <autoFilter ref="B4:M9652" xr:uid="{241C6583-A395-494F-B34A-BA98EEB4132C}"/>
  <tableColumns count="12">
    <tableColumn id="1" xr3:uid="{72C602C4-76C4-4A75-933A-FDC9591C1526}" name="Retailer" dataDxfId="13"/>
    <tableColumn id="2" xr3:uid="{725FD838-82AA-427A-9CE2-6C04110A316D}" name="Retailer ID" dataDxfId="12"/>
    <tableColumn id="3" xr3:uid="{9C123582-20EA-467F-A5ED-8224D6001C00}" name="Invoice Date" dataDxfId="11"/>
    <tableColumn id="4" xr3:uid="{134DBAE7-3279-40E6-98D9-CBECFFFB85D5}" name="Region" dataDxfId="10"/>
    <tableColumn id="5" xr3:uid="{C2E2A540-5264-40E1-8C95-F5F8159FEF6D}" name="State" dataDxfId="9"/>
    <tableColumn id="6" xr3:uid="{6DD89386-635C-40C8-9606-F930BAB18D98}" name="City" dataDxfId="8"/>
    <tableColumn id="7" xr3:uid="{79044A14-8C29-4B84-AA06-8282B70BA02E}" name="Beverage Brand" dataDxfId="7"/>
    <tableColumn id="8" xr3:uid="{A75130C6-6732-4DA3-A42A-8ECCD7E66F61}" name="Price per Unit" dataDxfId="6"/>
    <tableColumn id="9" xr3:uid="{3E7FDD09-C8F4-41A0-8B3E-09F0A7E4D8AD}" name="Units Sold" dataDxfId="5"/>
    <tableColumn id="10" xr3:uid="{521D1DF4-DD00-4778-9BB1-91E31DADFF87}" name="Total Sales" dataDxfId="4"/>
    <tableColumn id="11" xr3:uid="{94400550-7002-4F21-A27B-497430EA373F}" name="Operating Profit" dataDxfId="3"/>
    <tableColumn id="12" xr3:uid="{2526BB74-C8C1-4549-9ED9-43B205AA3AC6}" name="Operating Margin"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areerprinciples.com/courses/excel-for-business-finance" TargetMode="External"/><Relationship Id="rId1" Type="http://schemas.openxmlformats.org/officeDocument/2006/relationships/hyperlink" Target="https://www.youtube.com/c/KenjiExplains/feature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67AA6-B3BE-423D-84CC-BF75B12AA2C0}">
  <dimension ref="B3:D16"/>
  <sheetViews>
    <sheetView showGridLines="0" zoomScale="110" zoomScaleNormal="110" workbookViewId="0">
      <selection activeCell="C9" sqref="C9"/>
    </sheetView>
  </sheetViews>
  <sheetFormatPr defaultColWidth="10.75" defaultRowHeight="15.75" x14ac:dyDescent="0.25"/>
  <cols>
    <col min="1" max="1" width="10.75" style="13"/>
    <col min="2" max="2" width="8.5" style="13" customWidth="1"/>
    <col min="3" max="3" width="102.75" style="13" bestFit="1" customWidth="1"/>
    <col min="4" max="4" width="9.5" style="13" customWidth="1"/>
    <col min="5" max="16384" width="10.75" style="13"/>
  </cols>
  <sheetData>
    <row r="3" spans="2:4" ht="61.5" x14ac:dyDescent="0.25">
      <c r="B3" s="10"/>
      <c r="C3" s="11" t="s">
        <v>137</v>
      </c>
      <c r="D3" s="12"/>
    </row>
    <row r="4" spans="2:4" ht="54" customHeight="1" x14ac:dyDescent="0.25">
      <c r="B4" s="14"/>
      <c r="C4" s="15"/>
      <c r="D4" s="16"/>
    </row>
    <row r="5" spans="2:4" ht="31.9" customHeight="1" x14ac:dyDescent="0.25">
      <c r="B5" s="14"/>
      <c r="C5" s="15"/>
      <c r="D5" s="16"/>
    </row>
    <row r="6" spans="2:4" x14ac:dyDescent="0.25">
      <c r="B6" s="14"/>
      <c r="C6"/>
      <c r="D6" s="16"/>
    </row>
    <row r="7" spans="2:4" s="20" customFormat="1" ht="21" x14ac:dyDescent="0.35">
      <c r="B7" s="17"/>
      <c r="C7" s="18" t="s">
        <v>131</v>
      </c>
      <c r="D7" s="19"/>
    </row>
    <row r="8" spans="2:4" s="20" customFormat="1" x14ac:dyDescent="0.25">
      <c r="B8" s="17"/>
      <c r="C8" s="21"/>
      <c r="D8" s="19"/>
    </row>
    <row r="9" spans="2:4" s="24" customFormat="1" ht="26.25" x14ac:dyDescent="0.25">
      <c r="B9" s="22"/>
      <c r="C9" s="31" t="s">
        <v>132</v>
      </c>
      <c r="D9" s="23"/>
    </row>
    <row r="10" spans="2:4" x14ac:dyDescent="0.25">
      <c r="B10" s="14"/>
      <c r="C10"/>
      <c r="D10" s="16"/>
    </row>
    <row r="11" spans="2:4" ht="18.75" x14ac:dyDescent="0.3">
      <c r="B11" s="14"/>
      <c r="C11" s="25" t="s">
        <v>133</v>
      </c>
      <c r="D11" s="16"/>
    </row>
    <row r="12" spans="2:4" x14ac:dyDescent="0.25">
      <c r="B12" s="14"/>
      <c r="C12"/>
      <c r="D12" s="16"/>
    </row>
    <row r="13" spans="2:4" x14ac:dyDescent="0.25">
      <c r="B13" s="14"/>
      <c r="C13" s="26" t="s">
        <v>134</v>
      </c>
      <c r="D13" s="16"/>
    </row>
    <row r="14" spans="2:4" x14ac:dyDescent="0.25">
      <c r="B14" s="14"/>
      <c r="C14" t="s">
        <v>135</v>
      </c>
      <c r="D14" s="16"/>
    </row>
    <row r="15" spans="2:4" ht="31.5" x14ac:dyDescent="0.25">
      <c r="B15" s="14"/>
      <c r="C15" s="27" t="s">
        <v>136</v>
      </c>
      <c r="D15" s="16"/>
    </row>
    <row r="16" spans="2:4" x14ac:dyDescent="0.25">
      <c r="B16" s="28"/>
      <c r="C16" s="29"/>
      <c r="D16" s="30"/>
    </row>
  </sheetData>
  <sheetProtection algorithmName="SHA-512" hashValue="Sl0ZVH8MwAUUzmPfMe+tt6RgxGiFzHcLhAedmcGkcvmeWpCQgYMouT+zMLE88eAjpIZBWQdJcNLZoMpU7RjaGA==" saltValue="cJjxKab+wh97UivXOMwlYg==" spinCount="100000" sheet="1" objects="1" scenarios="1"/>
  <hyperlinks>
    <hyperlink ref="C11" r:id="rId1" display="Made by Kenji Explains" xr:uid="{1CB877F0-5D0A-4A0F-AD2F-D123553EC40E}"/>
    <hyperlink ref="C9" r:id="rId2" display="Get our Power BI for Business Analytics." xr:uid="{75127F4A-7BE5-4CF8-BD30-DCDF6C2747B7}"/>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topLeftCell="B5" zoomScaleNormal="100" workbookViewId="0">
      <selection activeCell="B5" sqref="B5"/>
    </sheetView>
  </sheetViews>
  <sheetFormatPr defaultColWidth="11.25" defaultRowHeight="15.75" x14ac:dyDescent="0.25"/>
  <cols>
    <col min="1" max="1" width="3" customWidth="1"/>
    <col min="3" max="3" width="11.25" customWidth="1"/>
    <col min="4" max="4" width="13" customWidth="1"/>
    <col min="8" max="8" width="15.75" customWidth="1"/>
    <col min="9" max="9" width="14.25" customWidth="1"/>
    <col min="11" max="11" width="11.75" customWidth="1"/>
    <col min="12" max="12" width="16.25" customWidth="1"/>
    <col min="13" max="13" width="17.25"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1F9A8-0B00-43EA-A7AE-BABFAC0D4C88}">
  <dimension ref="A3:M39"/>
  <sheetViews>
    <sheetView workbookViewId="0">
      <selection activeCell="A5" sqref="A5"/>
    </sheetView>
  </sheetViews>
  <sheetFormatPr defaultRowHeight="15.75" x14ac:dyDescent="0.25"/>
  <cols>
    <col min="1" max="1" width="11" bestFit="1" customWidth="1"/>
    <col min="2" max="2" width="10.5" bestFit="1" customWidth="1"/>
    <col min="3" max="3" width="11" bestFit="1" customWidth="1"/>
    <col min="4" max="4" width="26.375" bestFit="1" customWidth="1"/>
    <col min="5" max="5" width="16.125" bestFit="1" customWidth="1"/>
    <col min="6" max="6" width="14.25" bestFit="1" customWidth="1"/>
    <col min="7" max="7" width="21.25" bestFit="1" customWidth="1"/>
    <col min="8" max="10" width="8.625" bestFit="1" customWidth="1"/>
    <col min="11" max="11" width="14.125" customWidth="1"/>
    <col min="12" max="32" width="9.625" bestFit="1" customWidth="1"/>
    <col min="33" max="41" width="8.625" bestFit="1" customWidth="1"/>
    <col min="42" max="60" width="9.625" bestFit="1" customWidth="1"/>
    <col min="61" max="69" width="8.625" bestFit="1" customWidth="1"/>
    <col min="70" max="91" width="9.625" bestFit="1" customWidth="1"/>
    <col min="92" max="100" width="8.625" bestFit="1" customWidth="1"/>
    <col min="101" max="121" width="9.625" bestFit="1" customWidth="1"/>
    <col min="122" max="130" width="8.625" bestFit="1" customWidth="1"/>
    <col min="131" max="152" width="9.625" bestFit="1" customWidth="1"/>
    <col min="153" max="161" width="8.625" bestFit="1" customWidth="1"/>
    <col min="162" max="182" width="9.625" bestFit="1" customWidth="1"/>
    <col min="183" max="191" width="8.625" bestFit="1" customWidth="1"/>
    <col min="192" max="213" width="9.625" bestFit="1" customWidth="1"/>
    <col min="214" max="222" width="8.625" bestFit="1" customWidth="1"/>
    <col min="223" max="244" width="9.625" bestFit="1" customWidth="1"/>
    <col min="245" max="253" width="8.625" bestFit="1" customWidth="1"/>
    <col min="254" max="283" width="9.625" bestFit="1" customWidth="1"/>
    <col min="284" max="299" width="10.625" bestFit="1" customWidth="1"/>
    <col min="300" max="308" width="9.625" bestFit="1" customWidth="1"/>
    <col min="309" max="329" width="10.625" bestFit="1" customWidth="1"/>
    <col min="330" max="338" width="9.625" bestFit="1" customWidth="1"/>
    <col min="339" max="360" width="10.625" bestFit="1" customWidth="1"/>
    <col min="361" max="369" width="8.625" bestFit="1" customWidth="1"/>
    <col min="370" max="391" width="9.625" bestFit="1" customWidth="1"/>
    <col min="392" max="400" width="8.625" bestFit="1" customWidth="1"/>
    <col min="401" max="419" width="9.625" bestFit="1" customWidth="1"/>
    <col min="420" max="428" width="8.625" bestFit="1" customWidth="1"/>
    <col min="429" max="450" width="9.625" bestFit="1" customWidth="1"/>
    <col min="451" max="459" width="8.625" bestFit="1" customWidth="1"/>
    <col min="460" max="480" width="9.625" bestFit="1" customWidth="1"/>
    <col min="481" max="489" width="8.625" bestFit="1" customWidth="1"/>
    <col min="490" max="511" width="9.625" bestFit="1" customWidth="1"/>
    <col min="512" max="520" width="8.625" bestFit="1" customWidth="1"/>
    <col min="521" max="541" width="9.625" bestFit="1" customWidth="1"/>
    <col min="542" max="550" width="8.625" bestFit="1" customWidth="1"/>
    <col min="551" max="572" width="9.625" bestFit="1" customWidth="1"/>
    <col min="573" max="581" width="8.625" bestFit="1" customWidth="1"/>
    <col min="582" max="603" width="9.625" bestFit="1" customWidth="1"/>
    <col min="604" max="612" width="8.625" bestFit="1" customWidth="1"/>
    <col min="613" max="642" width="9.625" bestFit="1" customWidth="1"/>
    <col min="643" max="664" width="10.625" bestFit="1" customWidth="1"/>
    <col min="665" max="673" width="9.625" bestFit="1" customWidth="1"/>
    <col min="674" max="694" width="10.625" bestFit="1" customWidth="1"/>
    <col min="695" max="703" width="9.625" bestFit="1" customWidth="1"/>
    <col min="704" max="725" width="10.625" bestFit="1" customWidth="1"/>
    <col min="726" max="726" width="11.5" bestFit="1" customWidth="1"/>
  </cols>
  <sheetData>
    <row r="3" spans="1:4" x14ac:dyDescent="0.25">
      <c r="A3" t="s">
        <v>143</v>
      </c>
      <c r="B3" t="s">
        <v>144</v>
      </c>
      <c r="C3" t="s">
        <v>152</v>
      </c>
      <c r="D3" t="s">
        <v>145</v>
      </c>
    </row>
    <row r="4" spans="1:4" x14ac:dyDescent="0.25">
      <c r="A4" s="43">
        <v>2423732.4999999991</v>
      </c>
      <c r="B4" s="43">
        <v>901550.5079999991</v>
      </c>
      <c r="C4" s="36">
        <v>0.50629800307219652</v>
      </c>
      <c r="D4" s="37">
        <v>4623490</v>
      </c>
    </row>
    <row r="7" spans="1:4" x14ac:dyDescent="0.25">
      <c r="A7" s="38" t="s">
        <v>149</v>
      </c>
      <c r="B7" s="38" t="s">
        <v>148</v>
      </c>
    </row>
    <row r="8" spans="1:4" x14ac:dyDescent="0.25">
      <c r="A8" s="38" t="s">
        <v>150</v>
      </c>
      <c r="B8" t="s">
        <v>147</v>
      </c>
      <c r="C8" t="s">
        <v>146</v>
      </c>
    </row>
    <row r="9" spans="1:4" x14ac:dyDescent="0.25">
      <c r="A9" s="39" t="s">
        <v>14</v>
      </c>
      <c r="B9" s="35">
        <v>499102.00000000017</v>
      </c>
      <c r="C9" s="35">
        <v>499102.00000000017</v>
      </c>
    </row>
    <row r="10" spans="1:4" x14ac:dyDescent="0.25">
      <c r="A10" s="39" t="s">
        <v>19</v>
      </c>
      <c r="B10" s="35">
        <v>469270.69999999995</v>
      </c>
      <c r="C10" s="35">
        <v>469270.69999999995</v>
      </c>
    </row>
    <row r="11" spans="1:4" x14ac:dyDescent="0.25">
      <c r="A11" s="39" t="s">
        <v>15</v>
      </c>
      <c r="B11" s="35">
        <v>423758.7</v>
      </c>
      <c r="C11" s="35">
        <v>423758.7</v>
      </c>
    </row>
    <row r="12" spans="1:4" x14ac:dyDescent="0.25">
      <c r="A12" s="39" t="s">
        <v>17</v>
      </c>
      <c r="B12" s="35">
        <v>315489.20000000007</v>
      </c>
      <c r="C12" s="35">
        <v>315489.20000000007</v>
      </c>
    </row>
    <row r="13" spans="1:4" x14ac:dyDescent="0.25">
      <c r="A13" s="39" t="s">
        <v>18</v>
      </c>
      <c r="B13" s="35">
        <v>349533.89999999991</v>
      </c>
      <c r="C13" s="35">
        <v>349533.89999999991</v>
      </c>
    </row>
    <row r="14" spans="1:4" x14ac:dyDescent="0.25">
      <c r="A14" s="39" t="s">
        <v>16</v>
      </c>
      <c r="B14" s="35">
        <v>366578</v>
      </c>
      <c r="C14" s="35">
        <v>366578</v>
      </c>
    </row>
    <row r="15" spans="1:4" x14ac:dyDescent="0.25">
      <c r="A15" s="39" t="s">
        <v>146</v>
      </c>
      <c r="B15" s="35">
        <v>2423732.5</v>
      </c>
      <c r="C15" s="35">
        <v>2423732.5</v>
      </c>
    </row>
    <row r="19" spans="1:13" x14ac:dyDescent="0.25">
      <c r="A19" s="38" t="s">
        <v>157</v>
      </c>
      <c r="B19" s="38" t="s">
        <v>158</v>
      </c>
      <c r="C19" t="s">
        <v>143</v>
      </c>
      <c r="D19" t="s">
        <v>151</v>
      </c>
      <c r="E19" s="13"/>
    </row>
    <row r="20" spans="1:13" x14ac:dyDescent="0.25">
      <c r="A20" t="s">
        <v>147</v>
      </c>
      <c r="B20" t="s">
        <v>153</v>
      </c>
      <c r="C20" s="35">
        <v>692776.10000000033</v>
      </c>
      <c r="D20" s="40">
        <v>0.40174683544303802</v>
      </c>
      <c r="E20" s="40" t="str">
        <f>(A20)</f>
        <v>2022</v>
      </c>
      <c r="F20" s="40" t="str">
        <f t="shared" ref="F20:H20" si="0">(B20)</f>
        <v>Qtr1</v>
      </c>
      <c r="G20" s="40">
        <f t="shared" si="0"/>
        <v>692776.10000000033</v>
      </c>
      <c r="H20" s="40">
        <f t="shared" si="0"/>
        <v>0.40174683544303802</v>
      </c>
      <c r="I20" s="40"/>
      <c r="J20" s="40"/>
      <c r="K20" s="40"/>
      <c r="L20" s="40"/>
      <c r="M20" s="40"/>
    </row>
    <row r="21" spans="1:13" x14ac:dyDescent="0.25">
      <c r="B21" t="s">
        <v>154</v>
      </c>
      <c r="C21" s="35">
        <v>644203.89999999967</v>
      </c>
      <c r="D21" s="40">
        <v>0.4</v>
      </c>
      <c r="E21" s="40"/>
      <c r="F21" s="40" t="str">
        <f t="shared" ref="F21:F27" si="1">(B21)</f>
        <v>Qtr2</v>
      </c>
      <c r="G21" s="40">
        <f t="shared" ref="G21:G28" si="2">(C21)</f>
        <v>644203.89999999967</v>
      </c>
      <c r="H21" s="40">
        <f t="shared" ref="H21:H28" si="3">(D21)</f>
        <v>0.4</v>
      </c>
      <c r="I21" s="40"/>
      <c r="J21" s="40"/>
      <c r="K21" s="40"/>
      <c r="L21" s="40"/>
    </row>
    <row r="22" spans="1:13" x14ac:dyDescent="0.25">
      <c r="B22" t="s">
        <v>155</v>
      </c>
      <c r="C22" s="35">
        <v>719170.40000000014</v>
      </c>
      <c r="D22" s="40">
        <v>0.41026548672566332</v>
      </c>
      <c r="E22" s="40"/>
      <c r="F22" s="40" t="str">
        <f t="shared" si="1"/>
        <v>Qtr3</v>
      </c>
      <c r="G22" s="40">
        <f t="shared" si="2"/>
        <v>719170.40000000014</v>
      </c>
      <c r="H22" s="40">
        <f t="shared" si="3"/>
        <v>0.41026548672566332</v>
      </c>
      <c r="I22" s="40"/>
      <c r="J22" s="40"/>
      <c r="K22" s="40"/>
      <c r="L22" s="40"/>
    </row>
    <row r="23" spans="1:13" x14ac:dyDescent="0.25">
      <c r="B23" t="s">
        <v>156</v>
      </c>
      <c r="C23" s="35">
        <v>367582.09999999992</v>
      </c>
      <c r="D23" s="40">
        <v>0.40243816254416886</v>
      </c>
      <c r="E23" s="40"/>
      <c r="F23" s="40" t="str">
        <f t="shared" si="1"/>
        <v>Qtr4</v>
      </c>
      <c r="G23" s="40">
        <f t="shared" si="2"/>
        <v>367582.09999999992</v>
      </c>
      <c r="H23" s="40">
        <f t="shared" si="3"/>
        <v>0.40243816254416886</v>
      </c>
      <c r="I23" s="40"/>
      <c r="J23" s="40"/>
      <c r="K23" s="40"/>
      <c r="L23" s="40"/>
    </row>
    <row r="24" spans="1:13" x14ac:dyDescent="0.25">
      <c r="A24" t="s">
        <v>146</v>
      </c>
      <c r="C24" s="35">
        <v>2423732.4999999991</v>
      </c>
      <c r="D24" s="40">
        <v>0.40373271889401136</v>
      </c>
      <c r="E24" s="40" t="str">
        <f t="shared" ref="E24:E28" si="4">(A24)</f>
        <v>Grand Total</v>
      </c>
      <c r="F24" s="40">
        <f t="shared" si="1"/>
        <v>0</v>
      </c>
      <c r="G24" s="40">
        <f t="shared" si="2"/>
        <v>2423732.4999999991</v>
      </c>
      <c r="H24" s="40">
        <f t="shared" si="3"/>
        <v>0.40373271889401136</v>
      </c>
      <c r="I24" s="40"/>
      <c r="J24" s="40"/>
      <c r="K24" s="40"/>
      <c r="L24" s="40"/>
    </row>
    <row r="25" spans="1:13" x14ac:dyDescent="0.25">
      <c r="E25" s="40"/>
      <c r="F25" s="40">
        <f t="shared" si="1"/>
        <v>0</v>
      </c>
      <c r="G25" s="40">
        <f t="shared" si="2"/>
        <v>0</v>
      </c>
      <c r="H25" s="40">
        <f t="shared" si="3"/>
        <v>0</v>
      </c>
      <c r="I25" s="40"/>
      <c r="J25" s="40"/>
      <c r="K25" s="40"/>
      <c r="L25" s="40"/>
    </row>
    <row r="26" spans="1:13" x14ac:dyDescent="0.25">
      <c r="E26" s="40"/>
      <c r="F26" s="40">
        <f t="shared" si="1"/>
        <v>0</v>
      </c>
      <c r="G26" s="40">
        <f t="shared" si="2"/>
        <v>0</v>
      </c>
      <c r="H26" s="40">
        <f t="shared" si="3"/>
        <v>0</v>
      </c>
      <c r="I26" s="40"/>
      <c r="J26" s="40"/>
      <c r="K26" s="40"/>
      <c r="L26" s="40"/>
    </row>
    <row r="27" spans="1:13" x14ac:dyDescent="0.25">
      <c r="E27" s="40"/>
      <c r="F27" s="40">
        <f t="shared" si="1"/>
        <v>0</v>
      </c>
      <c r="G27" s="40">
        <f t="shared" si="2"/>
        <v>0</v>
      </c>
      <c r="H27" s="40">
        <f t="shared" si="3"/>
        <v>0</v>
      </c>
      <c r="I27" s="40"/>
      <c r="J27" s="40"/>
      <c r="K27" s="40"/>
      <c r="L27" s="40"/>
    </row>
    <row r="28" spans="1:13" x14ac:dyDescent="0.25">
      <c r="E28" s="40">
        <f t="shared" si="4"/>
        <v>0</v>
      </c>
      <c r="F28" s="40"/>
      <c r="G28" s="40">
        <f t="shared" si="2"/>
        <v>0</v>
      </c>
      <c r="H28" s="40">
        <f t="shared" si="3"/>
        <v>0</v>
      </c>
      <c r="I28" s="40"/>
      <c r="J28" s="40"/>
      <c r="K28" s="40"/>
      <c r="L28" s="40"/>
    </row>
    <row r="29" spans="1:13" x14ac:dyDescent="0.25">
      <c r="E29" s="40"/>
      <c r="F29" s="40"/>
      <c r="G29" s="40"/>
      <c r="H29" s="40"/>
      <c r="I29" s="40"/>
      <c r="J29" s="40"/>
      <c r="K29" s="40"/>
      <c r="L29" s="40"/>
    </row>
    <row r="30" spans="1:13" x14ac:dyDescent="0.25">
      <c r="E30" s="40"/>
      <c r="F30" s="40"/>
      <c r="G30" s="40"/>
      <c r="H30" s="40"/>
      <c r="I30" s="40"/>
      <c r="J30" s="40"/>
      <c r="K30" s="40"/>
      <c r="L30" s="40"/>
    </row>
    <row r="31" spans="1:13" x14ac:dyDescent="0.25">
      <c r="A31" s="38" t="s">
        <v>149</v>
      </c>
      <c r="B31" s="38" t="s">
        <v>148</v>
      </c>
    </row>
    <row r="32" spans="1:13" x14ac:dyDescent="0.25">
      <c r="A32" s="38" t="s">
        <v>150</v>
      </c>
      <c r="B32" t="s">
        <v>147</v>
      </c>
      <c r="C32" t="s">
        <v>146</v>
      </c>
    </row>
    <row r="33" spans="1:3" x14ac:dyDescent="0.25">
      <c r="A33" s="39" t="s">
        <v>130</v>
      </c>
      <c r="B33" s="35">
        <v>276210</v>
      </c>
      <c r="C33" s="35">
        <v>276210</v>
      </c>
    </row>
    <row r="34" spans="1:3" x14ac:dyDescent="0.25">
      <c r="A34" s="39" t="s">
        <v>20</v>
      </c>
      <c r="B34" s="35">
        <v>466787.99999999988</v>
      </c>
      <c r="C34" s="35">
        <v>466787.99999999988</v>
      </c>
    </row>
    <row r="35" spans="1:3" x14ac:dyDescent="0.25">
      <c r="A35" s="39" t="s">
        <v>127</v>
      </c>
      <c r="B35" s="35">
        <v>161210.09999999998</v>
      </c>
      <c r="C35" s="35">
        <v>161210.09999999998</v>
      </c>
    </row>
    <row r="36" spans="1:3" x14ac:dyDescent="0.25">
      <c r="A36" s="39" t="s">
        <v>129</v>
      </c>
      <c r="B36" s="35">
        <v>9250.2999999999993</v>
      </c>
      <c r="C36" s="35">
        <v>9250.2999999999993</v>
      </c>
    </row>
    <row r="37" spans="1:3" x14ac:dyDescent="0.25">
      <c r="A37" s="39" t="s">
        <v>126</v>
      </c>
      <c r="B37" s="35">
        <v>339912.50000000012</v>
      </c>
      <c r="C37" s="35">
        <v>339912.50000000012</v>
      </c>
    </row>
    <row r="38" spans="1:3" x14ac:dyDescent="0.25">
      <c r="A38" s="39" t="s">
        <v>128</v>
      </c>
      <c r="B38" s="35">
        <v>1170361.6000000006</v>
      </c>
      <c r="C38" s="35">
        <v>1170361.6000000006</v>
      </c>
    </row>
    <row r="39" spans="1:3" x14ac:dyDescent="0.25">
      <c r="A39" s="39" t="s">
        <v>146</v>
      </c>
      <c r="B39" s="35">
        <v>2423732.5000000005</v>
      </c>
      <c r="C39" s="35">
        <v>2423732.5000000005</v>
      </c>
    </row>
  </sheetData>
  <phoneticPr fontId="15" type="noConversion"/>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sheetPr>
    <pageSetUpPr fitToPage="1"/>
  </sheetPr>
  <dimension ref="A1:K31"/>
  <sheetViews>
    <sheetView showGridLines="0" tabSelected="1" workbookViewId="0">
      <selection activeCell="N16" sqref="N16"/>
    </sheetView>
  </sheetViews>
  <sheetFormatPr defaultColWidth="11.25" defaultRowHeight="15.75" x14ac:dyDescent="0.25"/>
  <cols>
    <col min="1" max="1" width="25.625" style="44" customWidth="1"/>
  </cols>
  <sheetData>
    <row r="1" spans="1:11" x14ac:dyDescent="0.25">
      <c r="A1" s="34"/>
    </row>
    <row r="2" spans="1:11" x14ac:dyDescent="0.25">
      <c r="A2" s="34"/>
    </row>
    <row r="3" spans="1:11" x14ac:dyDescent="0.25">
      <c r="A3" s="34"/>
    </row>
    <row r="4" spans="1:11" x14ac:dyDescent="0.25">
      <c r="A4" s="34"/>
    </row>
    <row r="5" spans="1:11" x14ac:dyDescent="0.25">
      <c r="A5" s="34"/>
      <c r="B5" s="45"/>
    </row>
    <row r="6" spans="1:11" x14ac:dyDescent="0.25">
      <c r="A6" s="34"/>
    </row>
    <row r="7" spans="1:11" x14ac:dyDescent="0.25">
      <c r="A7" s="34"/>
    </row>
    <row r="8" spans="1:11" x14ac:dyDescent="0.25">
      <c r="A8" s="34"/>
    </row>
    <row r="9" spans="1:11" x14ac:dyDescent="0.25">
      <c r="A9" s="34"/>
    </row>
    <row r="10" spans="1:11" ht="18.75" x14ac:dyDescent="0.3">
      <c r="A10" s="34"/>
      <c r="C10" s="46" t="s">
        <v>161</v>
      </c>
      <c r="D10" s="46"/>
      <c r="E10" s="46"/>
      <c r="F10" s="46"/>
      <c r="H10" s="46" t="s">
        <v>160</v>
      </c>
      <c r="I10" s="46"/>
      <c r="J10" s="46"/>
      <c r="K10" s="46"/>
    </row>
    <row r="11" spans="1:11" x14ac:dyDescent="0.25">
      <c r="A11" s="34"/>
      <c r="C11" s="32" t="s">
        <v>138</v>
      </c>
      <c r="D11" s="32" t="s">
        <v>139</v>
      </c>
      <c r="E11" s="32" t="s">
        <v>139</v>
      </c>
      <c r="F11" s="32" t="s">
        <v>140</v>
      </c>
      <c r="H11" s="32" t="s">
        <v>0</v>
      </c>
      <c r="I11" s="32" t="s">
        <v>141</v>
      </c>
      <c r="J11" s="32" t="s">
        <v>139</v>
      </c>
      <c r="K11" s="32" t="s">
        <v>140</v>
      </c>
    </row>
    <row r="12" spans="1:11" x14ac:dyDescent="0.25">
      <c r="A12" s="34"/>
      <c r="C12" t="str">
        <f>Analyze!A9</f>
        <v>Coca-Cola</v>
      </c>
      <c r="D12" s="37">
        <f>Analyze!B9</f>
        <v>499102.00000000017</v>
      </c>
      <c r="E12" s="37">
        <f>Analyze!C9</f>
        <v>499102.00000000017</v>
      </c>
      <c r="F12" s="37">
        <f>E12-D12</f>
        <v>0</v>
      </c>
      <c r="H12" t="str">
        <f>Analyze!A33</f>
        <v>Amazon</v>
      </c>
      <c r="I12" s="37">
        <f>Analyze!B33</f>
        <v>276210</v>
      </c>
      <c r="J12" s="37">
        <f>Analyze!C33</f>
        <v>276210</v>
      </c>
      <c r="K12" s="37">
        <f>J12-I12</f>
        <v>0</v>
      </c>
    </row>
    <row r="13" spans="1:11" x14ac:dyDescent="0.25">
      <c r="A13" s="34"/>
      <c r="C13" t="str">
        <f>Analyze!A10</f>
        <v>Dasani Water</v>
      </c>
      <c r="D13" s="37">
        <f>Analyze!B10</f>
        <v>469270.69999999995</v>
      </c>
      <c r="E13" s="37">
        <f>Analyze!C10</f>
        <v>469270.69999999995</v>
      </c>
      <c r="F13" s="37">
        <f t="shared" ref="F13:F17" si="0">E13-D13</f>
        <v>0</v>
      </c>
      <c r="H13" t="str">
        <f>Analyze!A34</f>
        <v>BevCo</v>
      </c>
      <c r="I13" s="37">
        <f>Analyze!B34</f>
        <v>466787.99999999988</v>
      </c>
      <c r="J13" s="37">
        <f>Analyze!C34</f>
        <v>466787.99999999988</v>
      </c>
      <c r="K13" s="37">
        <f t="shared" ref="K13:K18" si="1">J13-I13</f>
        <v>0</v>
      </c>
    </row>
    <row r="14" spans="1:11" x14ac:dyDescent="0.25">
      <c r="A14" s="34"/>
      <c r="C14" t="str">
        <f>Analyze!A11</f>
        <v>Diet Coke</v>
      </c>
      <c r="D14" s="37">
        <f>Analyze!B11</f>
        <v>423758.7</v>
      </c>
      <c r="E14" s="37">
        <f>Analyze!C11</f>
        <v>423758.7</v>
      </c>
      <c r="F14" s="37">
        <f t="shared" si="0"/>
        <v>0</v>
      </c>
      <c r="H14" t="str">
        <f>Analyze!A35</f>
        <v>FizzyCo</v>
      </c>
      <c r="I14" s="37">
        <f>Analyze!B35</f>
        <v>161210.09999999998</v>
      </c>
      <c r="J14" s="37">
        <f>Analyze!C35</f>
        <v>161210.09999999998</v>
      </c>
      <c r="K14" s="37">
        <f t="shared" si="1"/>
        <v>0</v>
      </c>
    </row>
    <row r="15" spans="1:11" x14ac:dyDescent="0.25">
      <c r="A15" s="34"/>
      <c r="C15" t="str">
        <f>Analyze!A12</f>
        <v>Fanta</v>
      </c>
      <c r="D15" s="37">
        <f>Analyze!B12</f>
        <v>315489.20000000007</v>
      </c>
      <c r="E15" s="37">
        <f>Analyze!C12</f>
        <v>315489.20000000007</v>
      </c>
      <c r="F15" s="37">
        <f t="shared" si="0"/>
        <v>0</v>
      </c>
      <c r="H15" t="str">
        <f>Analyze!A36</f>
        <v>Target</v>
      </c>
      <c r="I15" s="37">
        <f>Analyze!B36</f>
        <v>9250.2999999999993</v>
      </c>
      <c r="J15" s="37">
        <f>Analyze!C36</f>
        <v>9250.2999999999993</v>
      </c>
      <c r="K15" s="37">
        <f t="shared" si="1"/>
        <v>0</v>
      </c>
    </row>
    <row r="16" spans="1:11" x14ac:dyDescent="0.25">
      <c r="A16" s="34"/>
      <c r="C16" t="str">
        <f>Analyze!A13</f>
        <v>Powerade</v>
      </c>
      <c r="D16" s="37">
        <f>Analyze!B13</f>
        <v>349533.89999999991</v>
      </c>
      <c r="E16" s="37">
        <f>Analyze!C13</f>
        <v>349533.89999999991</v>
      </c>
      <c r="F16" s="37">
        <f t="shared" si="0"/>
        <v>0</v>
      </c>
      <c r="H16" t="str">
        <f>Analyze!A37</f>
        <v>Walmart</v>
      </c>
      <c r="I16" s="37">
        <f>Analyze!B37</f>
        <v>339912.50000000012</v>
      </c>
      <c r="J16" s="37">
        <f>Analyze!C37</f>
        <v>339912.50000000012</v>
      </c>
      <c r="K16" s="37">
        <f t="shared" si="1"/>
        <v>0</v>
      </c>
    </row>
    <row r="17" spans="1:11" x14ac:dyDescent="0.25">
      <c r="A17" s="34"/>
      <c r="C17" t="str">
        <f>Analyze!A14</f>
        <v>Sprite</v>
      </c>
      <c r="D17" s="37">
        <f>Analyze!B14</f>
        <v>366578</v>
      </c>
      <c r="E17" s="37">
        <f>Analyze!C14</f>
        <v>366578</v>
      </c>
      <c r="F17" s="37">
        <f t="shared" si="0"/>
        <v>0</v>
      </c>
      <c r="H17" t="str">
        <f>Analyze!A38</f>
        <v>West Soda</v>
      </c>
      <c r="I17" s="37">
        <f>Analyze!B38</f>
        <v>1170361.6000000006</v>
      </c>
      <c r="J17" s="37">
        <f>Analyze!C38</f>
        <v>1170361.6000000006</v>
      </c>
      <c r="K17" s="37">
        <f t="shared" si="1"/>
        <v>0</v>
      </c>
    </row>
    <row r="18" spans="1:11" x14ac:dyDescent="0.25">
      <c r="A18" s="34"/>
      <c r="C18" s="41" t="s">
        <v>159</v>
      </c>
      <c r="D18" s="42">
        <f>SUM(D12:D17)</f>
        <v>2423732.5</v>
      </c>
      <c r="E18" s="42">
        <f t="shared" ref="E18:F18" si="2">SUM(E12:E17)</f>
        <v>2423732.5</v>
      </c>
      <c r="F18" s="42">
        <f t="shared" si="2"/>
        <v>0</v>
      </c>
      <c r="H18" s="41" t="s">
        <v>159</v>
      </c>
      <c r="I18" s="42">
        <f>Analyze!B39</f>
        <v>2423732.5000000005</v>
      </c>
      <c r="J18" s="42">
        <f>Analyze!C39</f>
        <v>2423732.5000000005</v>
      </c>
      <c r="K18" s="42">
        <f t="shared" si="1"/>
        <v>0</v>
      </c>
    </row>
    <row r="19" spans="1:11" x14ac:dyDescent="0.25">
      <c r="A19" s="34"/>
    </row>
    <row r="20" spans="1:11" ht="18.75" x14ac:dyDescent="0.3">
      <c r="A20" s="34"/>
      <c r="C20" s="33" t="s">
        <v>142</v>
      </c>
      <c r="D20" s="33"/>
      <c r="E20" s="33"/>
      <c r="F20" s="33"/>
      <c r="G20" s="33"/>
      <c r="H20" s="33"/>
      <c r="I20" s="33"/>
      <c r="J20" s="33"/>
      <c r="K20" s="33"/>
    </row>
    <row r="21" spans="1:11" x14ac:dyDescent="0.25">
      <c r="A21" s="34"/>
    </row>
    <row r="22" spans="1:11" x14ac:dyDescent="0.25">
      <c r="A22" s="34"/>
    </row>
    <row r="23" spans="1:11" x14ac:dyDescent="0.25">
      <c r="A23" s="34"/>
    </row>
    <row r="24" spans="1:11" x14ac:dyDescent="0.25">
      <c r="A24" s="34"/>
    </row>
    <row r="25" spans="1:11" x14ac:dyDescent="0.25">
      <c r="A25" s="34"/>
    </row>
    <row r="26" spans="1:11" x14ac:dyDescent="0.25">
      <c r="A26" s="34"/>
    </row>
    <row r="27" spans="1:11" x14ac:dyDescent="0.25">
      <c r="A27" s="34"/>
    </row>
    <row r="28" spans="1:11" x14ac:dyDescent="0.25">
      <c r="A28" s="34"/>
    </row>
    <row r="29" spans="1:11" x14ac:dyDescent="0.25">
      <c r="A29" s="34"/>
    </row>
    <row r="30" spans="1:11" x14ac:dyDescent="0.25">
      <c r="A30" s="34"/>
    </row>
    <row r="31" spans="1:11" x14ac:dyDescent="0.25">
      <c r="A31" s="34"/>
    </row>
  </sheetData>
  <mergeCells count="2">
    <mergeCell ref="C10:F10"/>
    <mergeCell ref="H10:K10"/>
  </mergeCells>
  <conditionalFormatting sqref="F12:F17">
    <cfRule type="dataBar" priority="2">
      <dataBar>
        <cfvo type="min"/>
        <cfvo type="max"/>
        <color rgb="FF63C384"/>
      </dataBar>
      <extLst>
        <ext xmlns:x14="http://schemas.microsoft.com/office/spreadsheetml/2009/9/main" uri="{B025F937-C7B1-47D3-B67F-A62EFF666E3E}">
          <x14:id>{7B07FD57-B5DD-4774-8074-C57D39899635}</x14:id>
        </ext>
      </extLst>
    </cfRule>
  </conditionalFormatting>
  <conditionalFormatting sqref="K12:K17">
    <cfRule type="dataBar" priority="1">
      <dataBar>
        <cfvo type="min"/>
        <cfvo type="max"/>
        <color rgb="FF63C384"/>
      </dataBar>
      <extLst>
        <ext xmlns:x14="http://schemas.microsoft.com/office/spreadsheetml/2009/9/main" uri="{B025F937-C7B1-47D3-B67F-A62EFF666E3E}">
          <x14:id>{0B099F92-9186-44FC-9892-018B295E8336}</x14:id>
        </ext>
      </extLst>
    </cfRule>
  </conditionalFormatting>
  <pageMargins left="0.7" right="0.7" top="0.75" bottom="0.75" header="0.3" footer="0.3"/>
  <pageSetup scale="55" orientation="portrait" r:id="rId1"/>
  <drawing r:id="rId2"/>
  <extLst>
    <ext xmlns:x14="http://schemas.microsoft.com/office/spreadsheetml/2009/9/main" uri="{78C0D931-6437-407d-A8EE-F0AAD7539E65}">
      <x14:conditionalFormattings>
        <x14:conditionalFormatting xmlns:xm="http://schemas.microsoft.com/office/excel/2006/main">
          <x14:cfRule type="dataBar" id="{7B07FD57-B5DD-4774-8074-C57D39899635}">
            <x14:dataBar minLength="0" maxLength="100" border="1" negativeBarBorderColorSameAsPositive="0">
              <x14:cfvo type="autoMin"/>
              <x14:cfvo type="autoMax"/>
              <x14:borderColor rgb="FF63C384"/>
              <x14:negativeFillColor rgb="FFFF0000"/>
              <x14:negativeBorderColor rgb="FFFF0000"/>
              <x14:axisColor rgb="FF000000"/>
            </x14:dataBar>
          </x14:cfRule>
          <xm:sqref>F12:F17</xm:sqref>
        </x14:conditionalFormatting>
        <x14:conditionalFormatting xmlns:xm="http://schemas.microsoft.com/office/excel/2006/main">
          <x14:cfRule type="dataBar" id="{0B099F92-9186-44FC-9892-018B295E8336}">
            <x14:dataBar minLength="0" maxLength="100" border="1" negativeBarBorderColorSameAsPositive="0">
              <x14:cfvo type="autoMin"/>
              <x14:cfvo type="autoMax"/>
              <x14:borderColor rgb="FF63C384"/>
              <x14:negativeFillColor rgb="FFFF0000"/>
              <x14:negativeBorderColor rgb="FFFF0000"/>
              <x14:axisColor rgb="FF000000"/>
            </x14:dataBar>
          </x14:cfRule>
          <xm:sqref>K12:K17</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Joshua Abejide</cp:lastModifiedBy>
  <dcterms:created xsi:type="dcterms:W3CDTF">2023-12-18T11:08:00Z</dcterms:created>
  <dcterms:modified xsi:type="dcterms:W3CDTF">2026-04-12T10:38:28Z</dcterms:modified>
</cp:coreProperties>
</file>